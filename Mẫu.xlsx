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ải Xuống\"/>
    </mc:Choice>
  </mc:AlternateContent>
  <xr:revisionPtr revIDLastSave="0" documentId="13_ncr:1_{2BA27099-DD42-4EA5-9B37-59CA665BD0EE}" xr6:coauthVersionLast="47" xr6:coauthVersionMax="47" xr10:uidLastSave="{00000000-0000-0000-0000-000000000000}"/>
  <bookViews>
    <workbookView xWindow="4620" yWindow="3840" windowWidth="21600" windowHeight="11295" xr2:uid="{266400C7-7B39-4498-A220-7AB7A18C24CB}"/>
  </bookViews>
  <sheets>
    <sheet name="Hiệu quả kinh t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0" i="1" l="1"/>
  <c r="F85" i="1"/>
  <c r="C34" i="1"/>
  <c r="C35" i="1"/>
  <c r="C36" i="1"/>
  <c r="C37" i="1"/>
  <c r="C38" i="1"/>
  <c r="C39" i="1"/>
  <c r="C51" i="1" s="1"/>
  <c r="C63" i="1" s="1"/>
  <c r="C75" i="1" s="1"/>
  <c r="C87" i="1" s="1"/>
  <c r="C99" i="1" s="1"/>
  <c r="C111" i="1" s="1"/>
  <c r="C40" i="1"/>
  <c r="C52" i="1" s="1"/>
  <c r="C64" i="1" s="1"/>
  <c r="C76" i="1" s="1"/>
  <c r="C88" i="1" s="1"/>
  <c r="C100" i="1" s="1"/>
  <c r="C112" i="1" s="1"/>
  <c r="C41" i="1"/>
  <c r="C53" i="1" s="1"/>
  <c r="C65" i="1" s="1"/>
  <c r="C77" i="1" s="1"/>
  <c r="C89" i="1" s="1"/>
  <c r="C101" i="1" s="1"/>
  <c r="C113" i="1" s="1"/>
  <c r="C42" i="1"/>
  <c r="C43" i="1"/>
  <c r="C44" i="1"/>
  <c r="C45" i="1"/>
  <c r="C46" i="1"/>
  <c r="C47" i="1"/>
  <c r="C48" i="1"/>
  <c r="C49" i="1"/>
  <c r="C50" i="1"/>
  <c r="C54" i="1"/>
  <c r="C55" i="1"/>
  <c r="C56" i="1"/>
  <c r="C57" i="1"/>
  <c r="C58" i="1"/>
  <c r="C59" i="1"/>
  <c r="C71" i="1" s="1"/>
  <c r="C83" i="1" s="1"/>
  <c r="C95" i="1" s="1"/>
  <c r="C107" i="1" s="1"/>
  <c r="C60" i="1"/>
  <c r="C72" i="1" s="1"/>
  <c r="C84" i="1" s="1"/>
  <c r="C96" i="1" s="1"/>
  <c r="C108" i="1" s="1"/>
  <c r="C61" i="1"/>
  <c r="C73" i="1" s="1"/>
  <c r="C85" i="1" s="1"/>
  <c r="C97" i="1" s="1"/>
  <c r="C109" i="1" s="1"/>
  <c r="C62" i="1"/>
  <c r="C66" i="1"/>
  <c r="C67" i="1"/>
  <c r="C68" i="1"/>
  <c r="C80" i="1" s="1"/>
  <c r="C92" i="1" s="1"/>
  <c r="C104" i="1" s="1"/>
  <c r="C116" i="1" s="1"/>
  <c r="C69" i="1"/>
  <c r="C81" i="1" s="1"/>
  <c r="C93" i="1" s="1"/>
  <c r="C105" i="1" s="1"/>
  <c r="C70" i="1"/>
  <c r="C74" i="1"/>
  <c r="C78" i="1"/>
  <c r="C79" i="1"/>
  <c r="C91" i="1" s="1"/>
  <c r="C103" i="1" s="1"/>
  <c r="C115" i="1" s="1"/>
  <c r="C82" i="1"/>
  <c r="C86" i="1"/>
  <c r="C90" i="1"/>
  <c r="C94" i="1"/>
  <c r="C98" i="1"/>
  <c r="C102" i="1"/>
  <c r="C106" i="1"/>
  <c r="C110" i="1"/>
  <c r="C114" i="1"/>
  <c r="C33" i="1"/>
  <c r="C21" i="1"/>
  <c r="C22" i="1"/>
  <c r="C23" i="1"/>
  <c r="C24" i="1"/>
  <c r="C25" i="1"/>
  <c r="C26" i="1"/>
  <c r="C27" i="1"/>
  <c r="C28" i="1"/>
  <c r="C29" i="1"/>
  <c r="C30" i="1"/>
  <c r="C31" i="1"/>
  <c r="C32" i="1"/>
  <c r="G21" i="1"/>
  <c r="I21" i="1" s="1"/>
  <c r="L21" i="1" s="1"/>
  <c r="E34" i="1"/>
  <c r="E35" i="1"/>
  <c r="E36" i="1"/>
  <c r="E37" i="1"/>
  <c r="E38" i="1"/>
  <c r="E50" i="1" s="1"/>
  <c r="E62" i="1" s="1"/>
  <c r="E74" i="1" s="1"/>
  <c r="E86" i="1" s="1"/>
  <c r="E98" i="1" s="1"/>
  <c r="E39" i="1"/>
  <c r="E51" i="1" s="1"/>
  <c r="E63" i="1" s="1"/>
  <c r="E75" i="1" s="1"/>
  <c r="E87" i="1" s="1"/>
  <c r="E99" i="1" s="1"/>
  <c r="E111" i="1" s="1"/>
  <c r="E40" i="1"/>
  <c r="E52" i="1" s="1"/>
  <c r="E64" i="1" s="1"/>
  <c r="E76" i="1" s="1"/>
  <c r="E88" i="1" s="1"/>
  <c r="E100" i="1" s="1"/>
  <c r="E112" i="1" s="1"/>
  <c r="E41" i="1"/>
  <c r="E53" i="1" s="1"/>
  <c r="E65" i="1" s="1"/>
  <c r="E77" i="1" s="1"/>
  <c r="E89" i="1" s="1"/>
  <c r="E101" i="1" s="1"/>
  <c r="E113" i="1" s="1"/>
  <c r="E42" i="1"/>
  <c r="E43" i="1"/>
  <c r="E44" i="1"/>
  <c r="E45" i="1"/>
  <c r="E46" i="1"/>
  <c r="E58" i="1" s="1"/>
  <c r="E70" i="1" s="1"/>
  <c r="E82" i="1" s="1"/>
  <c r="E94" i="1" s="1"/>
  <c r="E106" i="1" s="1"/>
  <c r="E47" i="1"/>
  <c r="E59" i="1" s="1"/>
  <c r="E71" i="1" s="1"/>
  <c r="E83" i="1" s="1"/>
  <c r="E95" i="1" s="1"/>
  <c r="E107" i="1" s="1"/>
  <c r="E48" i="1"/>
  <c r="E60" i="1" s="1"/>
  <c r="E72" i="1" s="1"/>
  <c r="E84" i="1" s="1"/>
  <c r="E96" i="1" s="1"/>
  <c r="E108" i="1" s="1"/>
  <c r="E49" i="1"/>
  <c r="E61" i="1" s="1"/>
  <c r="E73" i="1" s="1"/>
  <c r="E85" i="1" s="1"/>
  <c r="E97" i="1" s="1"/>
  <c r="E109" i="1" s="1"/>
  <c r="E54" i="1"/>
  <c r="E66" i="1" s="1"/>
  <c r="E78" i="1" s="1"/>
  <c r="E90" i="1" s="1"/>
  <c r="E102" i="1" s="1"/>
  <c r="E114" i="1" s="1"/>
  <c r="E55" i="1"/>
  <c r="E67" i="1" s="1"/>
  <c r="E79" i="1" s="1"/>
  <c r="E91" i="1" s="1"/>
  <c r="E103" i="1" s="1"/>
  <c r="E115" i="1" s="1"/>
  <c r="E56" i="1"/>
  <c r="E68" i="1" s="1"/>
  <c r="E80" i="1" s="1"/>
  <c r="E92" i="1" s="1"/>
  <c r="E104" i="1" s="1"/>
  <c r="E116" i="1" s="1"/>
  <c r="E57" i="1"/>
  <c r="E69" i="1" s="1"/>
  <c r="E81" i="1" s="1"/>
  <c r="E93" i="1" s="1"/>
  <c r="E105" i="1" s="1"/>
  <c r="E33" i="1"/>
  <c r="F34" i="1"/>
  <c r="F35" i="1"/>
  <c r="F36" i="1"/>
  <c r="F37" i="1"/>
  <c r="F38" i="1"/>
  <c r="F50" i="1" s="1"/>
  <c r="F39" i="1"/>
  <c r="F51" i="1" s="1"/>
  <c r="F40" i="1"/>
  <c r="H40" i="1" s="1"/>
  <c r="F41" i="1"/>
  <c r="H41" i="1" s="1"/>
  <c r="F42" i="1"/>
  <c r="F43" i="1"/>
  <c r="F44" i="1"/>
  <c r="F45" i="1"/>
  <c r="F46" i="1"/>
  <c r="F58" i="1" s="1"/>
  <c r="F47" i="1"/>
  <c r="F59" i="1" s="1"/>
  <c r="F48" i="1"/>
  <c r="H48" i="1" s="1"/>
  <c r="F49" i="1"/>
  <c r="H49" i="1" s="1"/>
  <c r="F54" i="1"/>
  <c r="F66" i="1" s="1"/>
  <c r="F55" i="1"/>
  <c r="F67" i="1" s="1"/>
  <c r="F56" i="1"/>
  <c r="H56" i="1" s="1"/>
  <c r="F57" i="1"/>
  <c r="H57" i="1" s="1"/>
  <c r="F3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2" i="1"/>
  <c r="H43" i="1"/>
  <c r="H44" i="1"/>
  <c r="H45" i="1"/>
  <c r="H46" i="1"/>
  <c r="H47" i="1"/>
  <c r="H54" i="1"/>
  <c r="H55" i="1"/>
  <c r="H23" i="1"/>
  <c r="H22" i="1"/>
  <c r="H21" i="1"/>
  <c r="D32" i="1"/>
  <c r="D22" i="1"/>
  <c r="D23" i="1"/>
  <c r="D24" i="1"/>
  <c r="D25" i="1"/>
  <c r="D26" i="1"/>
  <c r="D27" i="1"/>
  <c r="D39" i="1" s="1"/>
  <c r="D51" i="1" s="1"/>
  <c r="D63" i="1" s="1"/>
  <c r="D75" i="1" s="1"/>
  <c r="D87" i="1" s="1"/>
  <c r="D99" i="1" s="1"/>
  <c r="D111" i="1" s="1"/>
  <c r="D28" i="1"/>
  <c r="D40" i="1" s="1"/>
  <c r="D52" i="1" s="1"/>
  <c r="D64" i="1" s="1"/>
  <c r="D76" i="1" s="1"/>
  <c r="D88" i="1" s="1"/>
  <c r="D100" i="1" s="1"/>
  <c r="D112" i="1" s="1"/>
  <c r="D29" i="1"/>
  <c r="D41" i="1" s="1"/>
  <c r="D53" i="1" s="1"/>
  <c r="D65" i="1" s="1"/>
  <c r="D77" i="1" s="1"/>
  <c r="D89" i="1" s="1"/>
  <c r="D101" i="1" s="1"/>
  <c r="D113" i="1" s="1"/>
  <c r="D30" i="1"/>
  <c r="D31" i="1"/>
  <c r="D21" i="1"/>
  <c r="G25" i="1"/>
  <c r="I25" i="1" s="1"/>
  <c r="L25" i="1" s="1"/>
  <c r="D34" i="1"/>
  <c r="D35" i="1"/>
  <c r="D36" i="1"/>
  <c r="D48" i="1" s="1"/>
  <c r="D60" i="1" s="1"/>
  <c r="D72" i="1" s="1"/>
  <c r="D84" i="1" s="1"/>
  <c r="D96" i="1" s="1"/>
  <c r="D108" i="1" s="1"/>
  <c r="D37" i="1"/>
  <c r="D49" i="1" s="1"/>
  <c r="D61" i="1" s="1"/>
  <c r="D73" i="1" s="1"/>
  <c r="D85" i="1" s="1"/>
  <c r="D97" i="1" s="1"/>
  <c r="D109" i="1" s="1"/>
  <c r="D38" i="1"/>
  <c r="D50" i="1" s="1"/>
  <c r="D62" i="1" s="1"/>
  <c r="D74" i="1" s="1"/>
  <c r="D86" i="1" s="1"/>
  <c r="D98" i="1" s="1"/>
  <c r="D110" i="1" s="1"/>
  <c r="D42" i="1"/>
  <c r="D54" i="1" s="1"/>
  <c r="D66" i="1" s="1"/>
  <c r="D78" i="1" s="1"/>
  <c r="D90" i="1" s="1"/>
  <c r="D102" i="1" s="1"/>
  <c r="D114" i="1" s="1"/>
  <c r="D43" i="1"/>
  <c r="D55" i="1" s="1"/>
  <c r="D67" i="1" s="1"/>
  <c r="D79" i="1" s="1"/>
  <c r="D91" i="1" s="1"/>
  <c r="D103" i="1" s="1"/>
  <c r="D115" i="1" s="1"/>
  <c r="D44" i="1"/>
  <c r="D56" i="1" s="1"/>
  <c r="D68" i="1" s="1"/>
  <c r="D80" i="1" s="1"/>
  <c r="D92" i="1" s="1"/>
  <c r="D104" i="1" s="1"/>
  <c r="D116" i="1" s="1"/>
  <c r="D46" i="1"/>
  <c r="D58" i="1" s="1"/>
  <c r="D70" i="1" s="1"/>
  <c r="D82" i="1" s="1"/>
  <c r="D94" i="1" s="1"/>
  <c r="D106" i="1" s="1"/>
  <c r="D47" i="1"/>
  <c r="D59" i="1" s="1"/>
  <c r="D71" i="1" s="1"/>
  <c r="D83" i="1" s="1"/>
  <c r="D95" i="1" s="1"/>
  <c r="D107" i="1" s="1"/>
  <c r="D33" i="1"/>
  <c r="D45" i="1" s="1"/>
  <c r="D57" i="1" s="1"/>
  <c r="D69" i="1" s="1"/>
  <c r="D81" i="1" s="1"/>
  <c r="D93" i="1" s="1"/>
  <c r="D105" i="1" s="1"/>
  <c r="G28" i="1" l="1"/>
  <c r="G106" i="1"/>
  <c r="G112" i="1"/>
  <c r="G113" i="1"/>
  <c r="F71" i="1"/>
  <c r="H59" i="1"/>
  <c r="H51" i="1"/>
  <c r="F63" i="1"/>
  <c r="H58" i="1"/>
  <c r="F70" i="1"/>
  <c r="H50" i="1"/>
  <c r="F62" i="1"/>
  <c r="H67" i="1"/>
  <c r="F79" i="1"/>
  <c r="H66" i="1"/>
  <c r="F78" i="1"/>
  <c r="F69" i="1"/>
  <c r="F61" i="1"/>
  <c r="F53" i="1"/>
  <c r="F68" i="1"/>
  <c r="F60" i="1"/>
  <c r="F52" i="1"/>
  <c r="G110" i="1"/>
  <c r="G111" i="1"/>
  <c r="G51" i="1"/>
  <c r="I51" i="1" s="1"/>
  <c r="L51" i="1" s="1"/>
  <c r="G44" i="1"/>
  <c r="I44" i="1" s="1"/>
  <c r="L44" i="1" s="1"/>
  <c r="G32" i="1"/>
  <c r="I32" i="1" s="1"/>
  <c r="L32" i="1" s="1"/>
  <c r="G36" i="1"/>
  <c r="I36" i="1" s="1"/>
  <c r="L36" i="1" s="1"/>
  <c r="G42" i="1"/>
  <c r="I42" i="1" s="1"/>
  <c r="L42" i="1" s="1"/>
  <c r="G35" i="1"/>
  <c r="I35" i="1" s="1"/>
  <c r="L35" i="1" s="1"/>
  <c r="G43" i="1"/>
  <c r="I43" i="1" s="1"/>
  <c r="L43" i="1" s="1"/>
  <c r="G37" i="1"/>
  <c r="I37" i="1" s="1"/>
  <c r="L37" i="1" s="1"/>
  <c r="G77" i="1"/>
  <c r="G34" i="1"/>
  <c r="I34" i="1" s="1"/>
  <c r="L34" i="1" s="1"/>
  <c r="G94" i="1"/>
  <c r="G76" i="1"/>
  <c r="G50" i="1"/>
  <c r="G41" i="1"/>
  <c r="I41" i="1" s="1"/>
  <c r="L41" i="1" s="1"/>
  <c r="G24" i="1"/>
  <c r="I24" i="1" s="1"/>
  <c r="L24" i="1" s="1"/>
  <c r="G86" i="1"/>
  <c r="G101" i="1"/>
  <c r="G58" i="1"/>
  <c r="G40" i="1"/>
  <c r="I40" i="1" s="1"/>
  <c r="L40" i="1" s="1"/>
  <c r="G31" i="1"/>
  <c r="I31" i="1" s="1"/>
  <c r="L31" i="1" s="1"/>
  <c r="G23" i="1"/>
  <c r="I23" i="1" s="1"/>
  <c r="L23" i="1" s="1"/>
  <c r="G100" i="1"/>
  <c r="G74" i="1"/>
  <c r="G65" i="1"/>
  <c r="G39" i="1"/>
  <c r="I39" i="1" s="1"/>
  <c r="L39" i="1" s="1"/>
  <c r="G30" i="1"/>
  <c r="I30" i="1" s="1"/>
  <c r="L30" i="1" s="1"/>
  <c r="G22" i="1"/>
  <c r="I22" i="1" s="1"/>
  <c r="L22" i="1" s="1"/>
  <c r="G99" i="1"/>
  <c r="G82" i="1"/>
  <c r="G64" i="1"/>
  <c r="G38" i="1"/>
  <c r="I38" i="1" s="1"/>
  <c r="L38" i="1" s="1"/>
  <c r="G29" i="1"/>
  <c r="I29" i="1" s="1"/>
  <c r="L29" i="1" s="1"/>
  <c r="G75" i="1"/>
  <c r="G98" i="1"/>
  <c r="G89" i="1"/>
  <c r="G63" i="1"/>
  <c r="G46" i="1"/>
  <c r="I46" i="1" s="1"/>
  <c r="L46" i="1" s="1"/>
  <c r="I28" i="1"/>
  <c r="L28" i="1" s="1"/>
  <c r="G88" i="1"/>
  <c r="G62" i="1"/>
  <c r="G53" i="1"/>
  <c r="G27" i="1"/>
  <c r="I27" i="1" s="1"/>
  <c r="L27" i="1" s="1"/>
  <c r="G87" i="1"/>
  <c r="G70" i="1"/>
  <c r="G52" i="1"/>
  <c r="G26" i="1"/>
  <c r="I26" i="1" s="1"/>
  <c r="L26" i="1" s="1"/>
  <c r="H61" i="1" l="1"/>
  <c r="F73" i="1"/>
  <c r="I53" i="1"/>
  <c r="L53" i="1" s="1"/>
  <c r="H52" i="1"/>
  <c r="F64" i="1"/>
  <c r="F90" i="1"/>
  <c r="H78" i="1"/>
  <c r="H63" i="1"/>
  <c r="I63" i="1" s="1"/>
  <c r="L63" i="1" s="1"/>
  <c r="F75" i="1"/>
  <c r="H60" i="1"/>
  <c r="F72" i="1"/>
  <c r="H53" i="1"/>
  <c r="F65" i="1"/>
  <c r="H69" i="1"/>
  <c r="F81" i="1"/>
  <c r="I50" i="1"/>
  <c r="L50" i="1" s="1"/>
  <c r="H68" i="1"/>
  <c r="F80" i="1"/>
  <c r="F91" i="1"/>
  <c r="H79" i="1"/>
  <c r="F74" i="1"/>
  <c r="H62" i="1"/>
  <c r="I62" i="1" s="1"/>
  <c r="L62" i="1" s="1"/>
  <c r="F82" i="1"/>
  <c r="H70" i="1"/>
  <c r="I70" i="1" s="1"/>
  <c r="L70" i="1" s="1"/>
  <c r="I52" i="1"/>
  <c r="L52" i="1" s="1"/>
  <c r="I58" i="1"/>
  <c r="L58" i="1" s="1"/>
  <c r="F83" i="1"/>
  <c r="H71" i="1"/>
  <c r="G56" i="1"/>
  <c r="I56" i="1" s="1"/>
  <c r="L56" i="1" s="1"/>
  <c r="G55" i="1"/>
  <c r="I55" i="1" s="1"/>
  <c r="L55" i="1" s="1"/>
  <c r="G47" i="1"/>
  <c r="I47" i="1" s="1"/>
  <c r="L47" i="1" s="1"/>
  <c r="G54" i="1"/>
  <c r="I54" i="1" s="1"/>
  <c r="L54" i="1" s="1"/>
  <c r="G49" i="1"/>
  <c r="I49" i="1" s="1"/>
  <c r="L49" i="1" s="1"/>
  <c r="G48" i="1"/>
  <c r="I48" i="1" s="1"/>
  <c r="L48" i="1" s="1"/>
  <c r="G33" i="1"/>
  <c r="I33" i="1" s="1"/>
  <c r="L33" i="1" s="1"/>
  <c r="H80" i="1" l="1"/>
  <c r="F92" i="1"/>
  <c r="H65" i="1"/>
  <c r="I65" i="1" s="1"/>
  <c r="L65" i="1" s="1"/>
  <c r="F77" i="1"/>
  <c r="H82" i="1"/>
  <c r="I82" i="1" s="1"/>
  <c r="L82" i="1" s="1"/>
  <c r="F94" i="1"/>
  <c r="H64" i="1"/>
  <c r="I64" i="1" s="1"/>
  <c r="L64" i="1" s="1"/>
  <c r="F76" i="1"/>
  <c r="H90" i="1"/>
  <c r="F102" i="1"/>
  <c r="H91" i="1"/>
  <c r="F103" i="1"/>
  <c r="H74" i="1"/>
  <c r="I74" i="1" s="1"/>
  <c r="L74" i="1" s="1"/>
  <c r="F86" i="1"/>
  <c r="H72" i="1"/>
  <c r="F84" i="1"/>
  <c r="H83" i="1"/>
  <c r="F95" i="1"/>
  <c r="F87" i="1"/>
  <c r="H75" i="1"/>
  <c r="I75" i="1" s="1"/>
  <c r="L75" i="1" s="1"/>
  <c r="H73" i="1"/>
  <c r="H81" i="1"/>
  <c r="F93" i="1"/>
  <c r="G68" i="1"/>
  <c r="I68" i="1" s="1"/>
  <c r="L68" i="1" s="1"/>
  <c r="G66" i="1"/>
  <c r="I66" i="1" s="1"/>
  <c r="L66" i="1" s="1"/>
  <c r="G61" i="1"/>
  <c r="I61" i="1" s="1"/>
  <c r="L61" i="1" s="1"/>
  <c r="G59" i="1"/>
  <c r="I59" i="1" s="1"/>
  <c r="L59" i="1" s="1"/>
  <c r="G60" i="1"/>
  <c r="I60" i="1" s="1"/>
  <c r="L60" i="1" s="1"/>
  <c r="G67" i="1"/>
  <c r="I67" i="1" s="1"/>
  <c r="L67" i="1" s="1"/>
  <c r="G45" i="1"/>
  <c r="I45" i="1" s="1"/>
  <c r="L45" i="1" s="1"/>
  <c r="H76" i="1" l="1"/>
  <c r="I76" i="1" s="1"/>
  <c r="L76" i="1" s="1"/>
  <c r="F88" i="1"/>
  <c r="F98" i="1"/>
  <c r="H86" i="1"/>
  <c r="I86" i="1" s="1"/>
  <c r="L86" i="1" s="1"/>
  <c r="F107" i="1"/>
  <c r="H107" i="1" s="1"/>
  <c r="H95" i="1"/>
  <c r="H92" i="1"/>
  <c r="F104" i="1"/>
  <c r="H93" i="1"/>
  <c r="F105" i="1"/>
  <c r="H105" i="1" s="1"/>
  <c r="H84" i="1"/>
  <c r="F96" i="1"/>
  <c r="H85" i="1"/>
  <c r="F97" i="1"/>
  <c r="F106" i="1"/>
  <c r="H106" i="1" s="1"/>
  <c r="I106" i="1" s="1"/>
  <c r="L106" i="1" s="1"/>
  <c r="H94" i="1"/>
  <c r="I94" i="1" s="1"/>
  <c r="L94" i="1" s="1"/>
  <c r="F115" i="1"/>
  <c r="H115" i="1" s="1"/>
  <c r="H103" i="1"/>
  <c r="H77" i="1"/>
  <c r="I77" i="1" s="1"/>
  <c r="L77" i="1" s="1"/>
  <c r="F89" i="1"/>
  <c r="F99" i="1"/>
  <c r="H87" i="1"/>
  <c r="I87" i="1" s="1"/>
  <c r="L87" i="1" s="1"/>
  <c r="F114" i="1"/>
  <c r="H114" i="1" s="1"/>
  <c r="H102" i="1"/>
  <c r="G80" i="1"/>
  <c r="I80" i="1" s="1"/>
  <c r="L80" i="1" s="1"/>
  <c r="G72" i="1"/>
  <c r="I72" i="1" s="1"/>
  <c r="L72" i="1" s="1"/>
  <c r="G71" i="1"/>
  <c r="I71" i="1" s="1"/>
  <c r="L71" i="1" s="1"/>
  <c r="G73" i="1"/>
  <c r="I73" i="1" s="1"/>
  <c r="L73" i="1" s="1"/>
  <c r="G79" i="1"/>
  <c r="I79" i="1" s="1"/>
  <c r="L79" i="1" s="1"/>
  <c r="G78" i="1"/>
  <c r="I78" i="1" s="1"/>
  <c r="L78" i="1" s="1"/>
  <c r="G57" i="1"/>
  <c r="I57" i="1" s="1"/>
  <c r="L57" i="1" s="1"/>
  <c r="H97" i="1" l="1"/>
  <c r="F109" i="1"/>
  <c r="H109" i="1" s="1"/>
  <c r="H99" i="1"/>
  <c r="I99" i="1" s="1"/>
  <c r="L99" i="1" s="1"/>
  <c r="F111" i="1"/>
  <c r="H111" i="1" s="1"/>
  <c r="I111" i="1" s="1"/>
  <c r="L111" i="1" s="1"/>
  <c r="H89" i="1"/>
  <c r="I89" i="1" s="1"/>
  <c r="L89" i="1" s="1"/>
  <c r="F101" i="1"/>
  <c r="H98" i="1"/>
  <c r="I98" i="1" s="1"/>
  <c r="L98" i="1" s="1"/>
  <c r="F110" i="1"/>
  <c r="H110" i="1" s="1"/>
  <c r="I110" i="1" s="1"/>
  <c r="L110" i="1" s="1"/>
  <c r="H88" i="1"/>
  <c r="I88" i="1" s="1"/>
  <c r="L88" i="1" s="1"/>
  <c r="F100" i="1"/>
  <c r="H104" i="1"/>
  <c r="F116" i="1"/>
  <c r="H116" i="1" s="1"/>
  <c r="H96" i="1"/>
  <c r="F108" i="1"/>
  <c r="H108" i="1" s="1"/>
  <c r="G92" i="1"/>
  <c r="I92" i="1" s="1"/>
  <c r="L92" i="1" s="1"/>
  <c r="G85" i="1"/>
  <c r="I85" i="1" s="1"/>
  <c r="L85" i="1" s="1"/>
  <c r="G91" i="1"/>
  <c r="I91" i="1" s="1"/>
  <c r="L91" i="1" s="1"/>
  <c r="G83" i="1"/>
  <c r="I83" i="1" s="1"/>
  <c r="L83" i="1" s="1"/>
  <c r="G90" i="1"/>
  <c r="I90" i="1" s="1"/>
  <c r="L90" i="1" s="1"/>
  <c r="G84" i="1"/>
  <c r="I84" i="1" s="1"/>
  <c r="L84" i="1" s="1"/>
  <c r="G69" i="1"/>
  <c r="I69" i="1" s="1"/>
  <c r="L69" i="1" s="1"/>
  <c r="H101" i="1" l="1"/>
  <c r="I101" i="1" s="1"/>
  <c r="L101" i="1" s="1"/>
  <c r="F113" i="1"/>
  <c r="H113" i="1" s="1"/>
  <c r="I113" i="1" s="1"/>
  <c r="L113" i="1" s="1"/>
  <c r="H100" i="1"/>
  <c r="I100" i="1" s="1"/>
  <c r="L100" i="1" s="1"/>
  <c r="F112" i="1"/>
  <c r="H112" i="1" s="1"/>
  <c r="I112" i="1" s="1"/>
  <c r="L112" i="1" s="1"/>
  <c r="G116" i="1"/>
  <c r="I116" i="1" s="1"/>
  <c r="L116" i="1" s="1"/>
  <c r="G104" i="1"/>
  <c r="I104" i="1" s="1"/>
  <c r="L104" i="1" s="1"/>
  <c r="G114" i="1"/>
  <c r="I114" i="1" s="1"/>
  <c r="L114" i="1" s="1"/>
  <c r="G102" i="1"/>
  <c r="I102" i="1" s="1"/>
  <c r="L102" i="1" s="1"/>
  <c r="G107" i="1"/>
  <c r="I107" i="1" s="1"/>
  <c r="L107" i="1" s="1"/>
  <c r="G95" i="1"/>
  <c r="I95" i="1" s="1"/>
  <c r="L95" i="1" s="1"/>
  <c r="G115" i="1"/>
  <c r="I115" i="1" s="1"/>
  <c r="L115" i="1" s="1"/>
  <c r="G103" i="1"/>
  <c r="I103" i="1" s="1"/>
  <c r="L103" i="1" s="1"/>
  <c r="G108" i="1"/>
  <c r="I108" i="1" s="1"/>
  <c r="L108" i="1" s="1"/>
  <c r="G96" i="1"/>
  <c r="I96" i="1" s="1"/>
  <c r="L96" i="1" s="1"/>
  <c r="G109" i="1"/>
  <c r="I109" i="1" s="1"/>
  <c r="L109" i="1" s="1"/>
  <c r="G97" i="1"/>
  <c r="I97" i="1" s="1"/>
  <c r="L97" i="1" s="1"/>
  <c r="G81" i="1"/>
  <c r="I81" i="1" s="1"/>
  <c r="L81" i="1" s="1"/>
  <c r="G105" i="1" l="1"/>
  <c r="I105" i="1" s="1"/>
  <c r="L105" i="1" s="1"/>
  <c r="G93" i="1"/>
  <c r="I93" i="1" s="1"/>
  <c r="L93" i="1" s="1"/>
</calcChain>
</file>

<file path=xl/sharedStrings.xml><?xml version="1.0" encoding="utf-8"?>
<sst xmlns="http://schemas.openxmlformats.org/spreadsheetml/2006/main" count="63" uniqueCount="58">
  <si>
    <t>BÁO CÁO HIỆU QUẢ KINH TẾ (TRẢ CHẬM 4 NĂM)</t>
  </si>
  <si>
    <t>1. THÔNG TIN DỰ ÁN &amp; HỆ THỐNG</t>
  </si>
  <si>
    <t>Vị trí lắp đặt:</t>
  </si>
  <si>
    <t>Khu vực Q. Thủ Đức</t>
  </si>
  <si>
    <t>Công suất Solar:</t>
  </si>
  <si>
    <t>66 kWp</t>
  </si>
  <si>
    <t>PVOUT hàng năm:</t>
  </si>
  <si>
    <t>1.446 kWh/kWp</t>
  </si>
  <si>
    <t>Lưu trữ BESS:</t>
  </si>
  <si>
    <t>60 kWh</t>
  </si>
  <si>
    <t>2. THÔNG TIN TÀI CHÍNH &amp; GIẢ ĐỊNH</t>
  </si>
  <si>
    <t>Tổng mức đầu tư:</t>
  </si>
  <si>
    <t>1.800.000.000 VNĐ</t>
  </si>
  <si>
    <t>Thời hạn vay:</t>
  </si>
  <si>
    <t>48 tháng (4 năm)</t>
  </si>
  <si>
    <t>Tỷ lệ Vốn tự có:</t>
  </si>
  <si>
    <t>Lãi suất vay (cố định):</t>
  </si>
  <si>
    <t>9.5%/năm</t>
  </si>
  <si>
    <t>Số tiền Vốn tự có:</t>
  </si>
  <si>
    <t>540.000.000 VNĐ</t>
  </si>
  <si>
    <t>Giá điện mua bình quân:</t>
  </si>
  <si>
    <t>3.638 VNĐ/kWh</t>
  </si>
  <si>
    <t>Số tiền Vay:</t>
  </si>
  <si>
    <t>1.260.000.000 VNĐ</t>
  </si>
  <si>
    <t>Mức tăng giá điện:</t>
  </si>
  <si>
    <t>5%/năm</t>
  </si>
  <si>
    <t>Hệ số suy giảm:</t>
  </si>
  <si>
    <t>Solar: 3%/năm | BESS: 10%/năm</t>
  </si>
  <si>
    <t>Thời gian bảo trì miễn phí:</t>
  </si>
  <si>
    <t>36 tháng</t>
  </si>
  <si>
    <t>3. TỔNG HỢP HIỆU QUẢ ĐẦU TƯ</t>
  </si>
  <si>
    <t>Lợi nhuận trung bình:</t>
  </si>
  <si>
    <t>1.738.369 VNĐ/tháng</t>
  </si>
  <si>
    <t>Thời gian hoàn cọc:</t>
  </si>
  <si>
    <t>~1.1 năm</t>
  </si>
  <si>
    <t>Tiết kiệm (Sau hoàn cọc):</t>
  </si>
  <si>
    <t>41.293.617 VNĐ/tháng</t>
  </si>
  <si>
    <t xml:space="preserve"> 495.523.399 VNĐ/năm </t>
  </si>
  <si>
    <t xml:space="preserve"> 4. BẢNG DÒNG TIỀN CHI TIẾT HÀNG THÁNG </t>
  </si>
  <si>
    <t xml:space="preserve"> Tháng </t>
  </si>
  <si>
    <t xml:space="preserve"> Sản lượng nắng </t>
  </si>
  <si>
    <t xml:space="preserve"> Sản lượng điện </t>
  </si>
  <si>
    <t xml:space="preserve"> Giá điện TB </t>
  </si>
  <si>
    <t xml:space="preserve"> Doanh thu Solar </t>
  </si>
  <si>
    <t xml:space="preserve"> Doanh thu BESS </t>
  </si>
  <si>
    <t xml:space="preserve"> Tổng Doanh thu </t>
  </si>
  <si>
    <t xml:space="preserve"> Gốc + Lãi Vay </t>
  </si>
  <si>
    <t xml:space="preserve"> Chi phí Bảo Trì </t>
  </si>
  <si>
    <t xml:space="preserve"> Lợi nhuận Ròng </t>
  </si>
  <si>
    <t xml:space="preserve"> Lũy kế Hoàn vốn </t>
  </si>
  <si>
    <t xml:space="preserve"> Solar (kWh) </t>
  </si>
  <si>
    <t xml:space="preserve"> BESS (kWh) </t>
  </si>
  <si>
    <t xml:space="preserve"> Solar (VNĐ) </t>
  </si>
  <si>
    <t xml:space="preserve"> BESS (VNĐ) </t>
  </si>
  <si>
    <t xml:space="preserve"> (VNĐ) </t>
  </si>
  <si>
    <t xml:space="preserve"> Tiết kiệm (VNĐ) </t>
  </si>
  <si>
    <t xml:space="preserve"> (36 tháng miễn phí) </t>
  </si>
  <si>
    <t xml:space="preserve"> Vốn tự có (VNĐ)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</si>
</sst>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4" x14ac:knownFonts="1">
    <font>
      <sz val="11"/>
      <color rgb="FF000000"/>
      <name val="Arial"/>
      <family val="2"/>
      <charset val="163"/>
      <scheme val="minor"/>
    </font>
    <font>
      <sz val="11"/>
      <color theme="1"/>
      <name val="Arial"/>
      <family val="2"/>
      <charset val="163"/>
      <scheme val="minor"/>
    </font>
    <font>
      <sz val="18"/>
      <color theme="3"/>
      <name val="Times New Roman"/>
      <family val="2"/>
      <charset val="163"/>
      <scheme val="major"/>
    </font>
    <font>
      <b/>
      <sz val="15"/>
      <color theme="3"/>
      <name val="Arial"/>
      <family val="2"/>
      <charset val="163"/>
      <scheme val="minor"/>
    </font>
    <font>
      <b/>
      <sz val="13"/>
      <color theme="3"/>
      <name val="Arial"/>
      <family val="2"/>
      <charset val="163"/>
      <scheme val="minor"/>
    </font>
    <font>
      <b/>
      <sz val="11"/>
      <color theme="3"/>
      <name val="Arial"/>
      <family val="2"/>
      <charset val="163"/>
      <scheme val="minor"/>
    </font>
    <font>
      <sz val="11"/>
      <color rgb="FF006100"/>
      <name val="Arial"/>
      <family val="2"/>
      <charset val="163"/>
      <scheme val="minor"/>
    </font>
    <font>
      <sz val="11"/>
      <color rgb="FF9C0006"/>
      <name val="Arial"/>
      <family val="2"/>
      <charset val="163"/>
      <scheme val="minor"/>
    </font>
    <font>
      <sz val="11"/>
      <color rgb="FF9C5700"/>
      <name val="Arial"/>
      <family val="2"/>
      <charset val="163"/>
      <scheme val="minor"/>
    </font>
    <font>
      <sz val="11"/>
      <color rgb="FF3F3F76"/>
      <name val="Arial"/>
      <family val="2"/>
      <charset val="163"/>
      <scheme val="minor"/>
    </font>
    <font>
      <b/>
      <sz val="11"/>
      <color rgb="FF3F3F3F"/>
      <name val="Arial"/>
      <family val="2"/>
      <charset val="163"/>
      <scheme val="minor"/>
    </font>
    <font>
      <b/>
      <sz val="11"/>
      <color rgb="FFFA7D00"/>
      <name val="Arial"/>
      <family val="2"/>
      <charset val="163"/>
      <scheme val="minor"/>
    </font>
    <font>
      <sz val="11"/>
      <color rgb="FFFA7D00"/>
      <name val="Arial"/>
      <family val="2"/>
      <charset val="163"/>
      <scheme val="minor"/>
    </font>
    <font>
      <b/>
      <sz val="11"/>
      <color theme="0"/>
      <name val="Arial"/>
      <family val="2"/>
      <charset val="163"/>
      <scheme val="minor"/>
    </font>
    <font>
      <sz val="11"/>
      <color rgb="FFFF0000"/>
      <name val="Arial"/>
      <family val="2"/>
      <charset val="163"/>
      <scheme val="minor"/>
    </font>
    <font>
      <i/>
      <sz val="11"/>
      <color rgb="FF7F7F7F"/>
      <name val="Arial"/>
      <family val="2"/>
      <charset val="163"/>
      <scheme val="minor"/>
    </font>
    <font>
      <b/>
      <sz val="11"/>
      <color theme="1"/>
      <name val="Arial"/>
      <family val="2"/>
      <charset val="163"/>
      <scheme val="minor"/>
    </font>
    <font>
      <sz val="11"/>
      <color theme="0"/>
      <name val="Arial"/>
      <family val="2"/>
      <charset val="163"/>
      <scheme val="minor"/>
    </font>
    <font>
      <sz val="11"/>
      <color rgb="FF000000"/>
      <name val="Times New Roman"/>
      <family val="1"/>
    </font>
    <font>
      <b/>
      <sz val="16"/>
      <color rgb="FF1F497D"/>
      <name val="Times New Roman"/>
      <family val="1"/>
    </font>
    <font>
      <b/>
      <sz val="12"/>
      <color rgb="FF1F497D"/>
      <name val="Times New Roman"/>
      <family val="1"/>
    </font>
    <font>
      <b/>
      <sz val="11"/>
      <color rgb="FFFFFFFF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Arial"/>
      <family val="2"/>
      <charset val="163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2EFDA"/>
        <bgColor rgb="FF000000"/>
      </patternFill>
    </fill>
    <fill>
      <patternFill patternType="solid">
        <fgColor rgb="FF1F497D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1F497D"/>
      </left>
      <right style="medium">
        <color rgb="FF1F497D"/>
      </right>
      <top/>
      <bottom style="medium">
        <color rgb="FF1F497D"/>
      </bottom>
      <diagonal/>
    </border>
    <border>
      <left/>
      <right style="medium">
        <color rgb="FF1F497D"/>
      </right>
      <top/>
      <bottom/>
      <diagonal/>
    </border>
    <border>
      <left/>
      <right style="medium">
        <color rgb="FF1F497D"/>
      </right>
      <top/>
      <bottom style="medium">
        <color rgb="FF1F497D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rgb="FF1F497D"/>
      </left>
      <right style="medium">
        <color rgb="FF1F497D"/>
      </right>
      <top style="thin">
        <color indexed="64"/>
      </top>
      <bottom/>
      <diagonal/>
    </border>
  </borders>
  <cellStyleXfs count="43">
    <xf numFmtId="0" fontId="0" fillId="0" borderId="0"/>
    <xf numFmtId="41" fontId="23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4">
    <xf numFmtId="0" fontId="0" fillId="0" borderId="0" xfId="0"/>
    <xf numFmtId="0" fontId="18" fillId="0" borderId="0" xfId="0" applyFont="1"/>
    <xf numFmtId="41" fontId="21" fillId="34" borderId="14" xfId="1" applyFont="1" applyFill="1" applyBorder="1" applyAlignment="1">
      <alignment horizontal="center" vertical="center" wrapText="1"/>
    </xf>
    <xf numFmtId="41" fontId="21" fillId="34" borderId="15" xfId="1" applyFont="1" applyFill="1" applyBorder="1" applyAlignment="1">
      <alignment horizontal="center" vertical="center" wrapText="1"/>
    </xf>
    <xf numFmtId="41" fontId="18" fillId="0" borderId="0" xfId="1" applyFont="1" applyAlignment="1">
      <alignment wrapText="1"/>
    </xf>
    <xf numFmtId="41" fontId="18" fillId="35" borderId="0" xfId="1" applyFont="1" applyFill="1" applyAlignment="1">
      <alignment wrapText="1"/>
    </xf>
    <xf numFmtId="41" fontId="18" fillId="36" borderId="0" xfId="1" applyFont="1" applyFill="1" applyAlignment="1">
      <alignment wrapText="1"/>
    </xf>
    <xf numFmtId="41" fontId="18" fillId="37" borderId="0" xfId="1" applyFont="1" applyFill="1" applyAlignment="1">
      <alignment wrapText="1"/>
    </xf>
    <xf numFmtId="41" fontId="22" fillId="37" borderId="0" xfId="1" applyFont="1" applyFill="1" applyAlignment="1">
      <alignment wrapText="1"/>
    </xf>
    <xf numFmtId="41" fontId="18" fillId="38" borderId="0" xfId="1" applyFont="1" applyFill="1" applyAlignment="1">
      <alignment wrapText="1"/>
    </xf>
    <xf numFmtId="41" fontId="22" fillId="35" borderId="0" xfId="1" applyFont="1" applyFill="1" applyAlignment="1">
      <alignment wrapText="1"/>
    </xf>
    <xf numFmtId="0" fontId="20" fillId="33" borderId="10" xfId="0" applyFont="1" applyFill="1" applyBorder="1" applyAlignment="1">
      <alignment horizontal="left" wrapText="1"/>
    </xf>
    <xf numFmtId="0" fontId="20" fillId="33" borderId="11" xfId="0" applyFont="1" applyFill="1" applyBorder="1" applyAlignment="1">
      <alignment horizontal="left" wrapText="1"/>
    </xf>
    <xf numFmtId="0" fontId="20" fillId="33" borderId="12" xfId="0" applyFont="1" applyFill="1" applyBorder="1" applyAlignment="1">
      <alignment horizontal="left" wrapText="1"/>
    </xf>
    <xf numFmtId="0" fontId="19" fillId="0" borderId="0" xfId="0" applyFont="1" applyAlignment="1">
      <alignment horizontal="center" vertical="center" wrapText="1"/>
    </xf>
    <xf numFmtId="0" fontId="18" fillId="0" borderId="16" xfId="0" applyFont="1" applyBorder="1" applyAlignment="1">
      <alignment wrapText="1"/>
    </xf>
    <xf numFmtId="0" fontId="18" fillId="0" borderId="17" xfId="0" applyFont="1" applyBorder="1" applyAlignment="1">
      <alignment wrapText="1"/>
    </xf>
    <xf numFmtId="0" fontId="18" fillId="0" borderId="18" xfId="0" applyFont="1" applyBorder="1" applyAlignment="1">
      <alignment wrapText="1"/>
    </xf>
    <xf numFmtId="0" fontId="18" fillId="0" borderId="10" xfId="0" applyFont="1" applyBorder="1" applyAlignment="1">
      <alignment wrapText="1"/>
    </xf>
    <xf numFmtId="0" fontId="18" fillId="0" borderId="11" xfId="0" applyFont="1" applyBorder="1" applyAlignment="1">
      <alignment wrapText="1"/>
    </xf>
    <xf numFmtId="0" fontId="18" fillId="0" borderId="12" xfId="0" applyFont="1" applyBorder="1" applyAlignment="1">
      <alignment wrapText="1"/>
    </xf>
    <xf numFmtId="0" fontId="18" fillId="0" borderId="19" xfId="0" applyFont="1" applyBorder="1" applyAlignment="1">
      <alignment wrapText="1"/>
    </xf>
    <xf numFmtId="0" fontId="18" fillId="0" borderId="0" xfId="0" applyFont="1" applyAlignment="1">
      <alignment wrapText="1"/>
    </xf>
    <xf numFmtId="0" fontId="18" fillId="0" borderId="20" xfId="0" applyFont="1" applyBorder="1" applyAlignment="1">
      <alignment wrapText="1"/>
    </xf>
    <xf numFmtId="0" fontId="18" fillId="0" borderId="21" xfId="0" applyFont="1" applyBorder="1" applyAlignment="1">
      <alignment wrapText="1"/>
    </xf>
    <xf numFmtId="9" fontId="18" fillId="0" borderId="10" xfId="0" applyNumberFormat="1" applyFont="1" applyBorder="1" applyAlignment="1">
      <alignment wrapText="1"/>
    </xf>
    <xf numFmtId="9" fontId="18" fillId="0" borderId="11" xfId="0" applyNumberFormat="1" applyFont="1" applyBorder="1" applyAlignment="1">
      <alignment wrapText="1"/>
    </xf>
    <xf numFmtId="9" fontId="18" fillId="0" borderId="12" xfId="0" applyNumberFormat="1" applyFont="1" applyBorder="1" applyAlignment="1">
      <alignment wrapText="1"/>
    </xf>
    <xf numFmtId="41" fontId="20" fillId="33" borderId="10" xfId="1" applyFont="1" applyFill="1" applyBorder="1" applyAlignment="1">
      <alignment horizontal="left" wrapText="1"/>
    </xf>
    <xf numFmtId="41" fontId="20" fillId="33" borderId="11" xfId="1" applyFont="1" applyFill="1" applyBorder="1" applyAlignment="1">
      <alignment horizontal="left" wrapText="1"/>
    </xf>
    <xf numFmtId="41" fontId="20" fillId="33" borderId="12" xfId="1" applyFont="1" applyFill="1" applyBorder="1" applyAlignment="1">
      <alignment horizontal="left" wrapText="1"/>
    </xf>
    <xf numFmtId="41" fontId="21" fillId="34" borderId="22" xfId="1" applyFont="1" applyFill="1" applyBorder="1" applyAlignment="1">
      <alignment horizontal="center" vertical="center" wrapText="1"/>
    </xf>
    <xf numFmtId="41" fontId="21" fillId="34" borderId="13" xfId="1" applyFont="1" applyFill="1" applyBorder="1" applyAlignment="1">
      <alignment horizontal="center" vertical="center" wrapText="1"/>
    </xf>
    <xf numFmtId="41" fontId="18" fillId="0" borderId="0" xfId="1" applyFont="1" applyBorder="1" applyAlignment="1">
      <alignment wrapText="1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omma [0]" xfId="1" builtinId="6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2"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5050"/>
        </patternFill>
      </fill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3EEF1-790C-4F9F-BF2B-C4196BD9D770}">
  <dimension ref="A1:M116"/>
  <sheetViews>
    <sheetView showGridLines="0" tabSelected="1" topLeftCell="A91" workbookViewId="0">
      <selection activeCell="E110" sqref="E110"/>
    </sheetView>
  </sheetViews>
  <sheetFormatPr defaultRowHeight="14.25" x14ac:dyDescent="0.2"/>
  <cols>
    <col min="1" max="2" width="6" customWidth="1"/>
    <col min="3" max="4" width="18.375" customWidth="1"/>
    <col min="5" max="5" width="18.5" customWidth="1"/>
    <col min="6" max="6" width="18.25" customWidth="1"/>
    <col min="7" max="7" width="18.375" customWidth="1"/>
    <col min="8" max="8" width="18.125" customWidth="1"/>
    <col min="9" max="9" width="14.75" customWidth="1"/>
    <col min="10" max="10" width="12.375" customWidth="1"/>
    <col min="11" max="11" width="16.75" customWidth="1"/>
    <col min="12" max="12" width="14" customWidth="1"/>
    <col min="13" max="13" width="24.125" customWidth="1"/>
  </cols>
  <sheetData>
    <row r="1" spans="1:13" s="1" customFormat="1" ht="30" customHeight="1" x14ac:dyDescent="0.2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s="1" customFormat="1" ht="15" x14ac:dyDescent="0.2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</row>
    <row r="3" spans="1:13" s="1" customFormat="1" ht="15.75" x14ac:dyDescent="0.25">
      <c r="A3" s="11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3"/>
    </row>
    <row r="4" spans="1:13" s="1" customFormat="1" ht="15" x14ac:dyDescent="0.25">
      <c r="A4" s="16" t="s">
        <v>2</v>
      </c>
      <c r="B4" s="16"/>
      <c r="C4" s="17"/>
      <c r="D4" s="18" t="s">
        <v>3</v>
      </c>
      <c r="E4" s="19"/>
      <c r="F4" s="19"/>
      <c r="G4" s="20"/>
      <c r="H4" s="21" t="s">
        <v>4</v>
      </c>
      <c r="I4" s="16"/>
      <c r="J4" s="16"/>
      <c r="K4" s="16" t="s">
        <v>5</v>
      </c>
      <c r="L4" s="16"/>
      <c r="M4" s="16"/>
    </row>
    <row r="5" spans="1:13" s="1" customFormat="1" ht="15" x14ac:dyDescent="0.25">
      <c r="A5" s="22" t="s">
        <v>6</v>
      </c>
      <c r="B5" s="22"/>
      <c r="C5" s="23"/>
      <c r="D5" s="18" t="s">
        <v>7</v>
      </c>
      <c r="E5" s="19"/>
      <c r="F5" s="19"/>
      <c r="G5" s="20"/>
      <c r="H5" s="24" t="s">
        <v>8</v>
      </c>
      <c r="I5" s="22"/>
      <c r="J5" s="22"/>
      <c r="K5" s="22" t="s">
        <v>9</v>
      </c>
      <c r="L5" s="22"/>
      <c r="M5" s="22"/>
    </row>
    <row r="6" spans="1:13" s="1" customFormat="1" ht="15" x14ac:dyDescent="0.25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</row>
    <row r="7" spans="1:13" s="1" customFormat="1" ht="15.75" x14ac:dyDescent="0.25">
      <c r="A7" s="11" t="s">
        <v>10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3"/>
    </row>
    <row r="8" spans="1:13" s="1" customFormat="1" ht="15" x14ac:dyDescent="0.25">
      <c r="A8" s="16" t="s">
        <v>11</v>
      </c>
      <c r="B8" s="16"/>
      <c r="C8" s="16"/>
      <c r="D8" s="19" t="s">
        <v>12</v>
      </c>
      <c r="E8" s="19"/>
      <c r="F8" s="19"/>
      <c r="G8" s="19"/>
      <c r="H8" s="16" t="s">
        <v>13</v>
      </c>
      <c r="I8" s="16"/>
      <c r="J8" s="17"/>
      <c r="K8" s="18" t="s">
        <v>14</v>
      </c>
      <c r="L8" s="19"/>
      <c r="M8" s="20"/>
    </row>
    <row r="9" spans="1:13" s="1" customFormat="1" ht="15" x14ac:dyDescent="0.25">
      <c r="A9" s="22" t="s">
        <v>15</v>
      </c>
      <c r="B9" s="22"/>
      <c r="C9" s="23"/>
      <c r="D9" s="25">
        <v>0.3</v>
      </c>
      <c r="E9" s="26"/>
      <c r="F9" s="26"/>
      <c r="G9" s="27"/>
      <c r="H9" s="24" t="s">
        <v>16</v>
      </c>
      <c r="I9" s="22"/>
      <c r="J9" s="23"/>
      <c r="K9" s="18" t="s">
        <v>17</v>
      </c>
      <c r="L9" s="19"/>
      <c r="M9" s="20"/>
    </row>
    <row r="10" spans="1:13" s="1" customFormat="1" ht="15" x14ac:dyDescent="0.25">
      <c r="A10" s="22" t="s">
        <v>18</v>
      </c>
      <c r="B10" s="22"/>
      <c r="C10" s="22"/>
      <c r="D10" s="16" t="s">
        <v>19</v>
      </c>
      <c r="E10" s="16"/>
      <c r="F10" s="16"/>
      <c r="G10" s="16"/>
      <c r="H10" s="22" t="s">
        <v>20</v>
      </c>
      <c r="I10" s="22"/>
      <c r="J10" s="22"/>
      <c r="K10" s="19" t="s">
        <v>21</v>
      </c>
      <c r="L10" s="19"/>
      <c r="M10" s="19"/>
    </row>
    <row r="11" spans="1:13" s="1" customFormat="1" ht="15" x14ac:dyDescent="0.25">
      <c r="A11" s="22" t="s">
        <v>22</v>
      </c>
      <c r="B11" s="22"/>
      <c r="C11" s="22"/>
      <c r="D11" s="15" t="s">
        <v>23</v>
      </c>
      <c r="E11" s="15"/>
      <c r="F11" s="15"/>
      <c r="G11" s="15"/>
      <c r="H11" s="22" t="s">
        <v>24</v>
      </c>
      <c r="I11" s="22"/>
      <c r="J11" s="23"/>
      <c r="K11" s="18" t="s">
        <v>25</v>
      </c>
      <c r="L11" s="19"/>
      <c r="M11" s="20"/>
    </row>
    <row r="12" spans="1:13" s="1" customFormat="1" ht="15" x14ac:dyDescent="0.25">
      <c r="A12" s="22" t="s">
        <v>26</v>
      </c>
      <c r="B12" s="22"/>
      <c r="C12" s="23"/>
      <c r="D12" s="18" t="s">
        <v>27</v>
      </c>
      <c r="E12" s="19"/>
      <c r="F12" s="19"/>
      <c r="G12" s="20"/>
      <c r="H12" s="24" t="s">
        <v>28</v>
      </c>
      <c r="I12" s="22"/>
      <c r="J12" s="23"/>
      <c r="K12" s="18" t="s">
        <v>29</v>
      </c>
      <c r="L12" s="19"/>
      <c r="M12" s="20"/>
    </row>
    <row r="13" spans="1:13" s="1" customFormat="1" ht="15" x14ac:dyDescent="0.25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</row>
    <row r="14" spans="1:13" s="1" customFormat="1" ht="15.75" x14ac:dyDescent="0.25">
      <c r="A14" s="11" t="s">
        <v>30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3"/>
    </row>
    <row r="15" spans="1:13" s="1" customFormat="1" ht="15" customHeight="1" x14ac:dyDescent="0.25">
      <c r="A15" s="16" t="s">
        <v>31</v>
      </c>
      <c r="B15" s="16"/>
      <c r="C15" s="16"/>
      <c r="D15" s="16" t="s">
        <v>32</v>
      </c>
      <c r="E15" s="16"/>
      <c r="F15" s="16"/>
      <c r="G15" s="16"/>
      <c r="H15" s="16" t="s">
        <v>33</v>
      </c>
      <c r="I15" s="16"/>
      <c r="J15" s="16"/>
      <c r="K15" s="16" t="s">
        <v>34</v>
      </c>
      <c r="L15" s="16"/>
      <c r="M15" s="16"/>
    </row>
    <row r="16" spans="1:13" s="1" customFormat="1" ht="15" customHeight="1" x14ac:dyDescent="0.25">
      <c r="A16" s="22" t="s">
        <v>35</v>
      </c>
      <c r="B16" s="22"/>
      <c r="C16" s="22"/>
      <c r="D16" s="22" t="s">
        <v>36</v>
      </c>
      <c r="E16" s="22"/>
      <c r="F16" s="22"/>
      <c r="G16" s="22"/>
      <c r="H16" s="22"/>
      <c r="I16" s="22"/>
      <c r="J16" s="22"/>
      <c r="K16" s="33" t="s">
        <v>37</v>
      </c>
      <c r="L16" s="33"/>
      <c r="M16" s="33"/>
    </row>
    <row r="17" spans="1:13" s="1" customFormat="1" ht="15" x14ac:dyDescent="0.25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</row>
    <row r="18" spans="1:13" s="1" customFormat="1" ht="15.75" x14ac:dyDescent="0.25">
      <c r="A18" s="28" t="s">
        <v>38</v>
      </c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30"/>
    </row>
    <row r="19" spans="1:13" s="1" customFormat="1" ht="28.5" x14ac:dyDescent="0.25">
      <c r="A19" s="31" t="s">
        <v>39</v>
      </c>
      <c r="B19" s="31" t="s">
        <v>40</v>
      </c>
      <c r="C19" s="2" t="s">
        <v>41</v>
      </c>
      <c r="D19" s="2" t="s">
        <v>41</v>
      </c>
      <c r="E19" s="2" t="s">
        <v>42</v>
      </c>
      <c r="F19" s="2" t="s">
        <v>42</v>
      </c>
      <c r="G19" s="2" t="s">
        <v>43</v>
      </c>
      <c r="H19" s="2" t="s">
        <v>44</v>
      </c>
      <c r="I19" s="2" t="s">
        <v>45</v>
      </c>
      <c r="J19" s="2" t="s">
        <v>46</v>
      </c>
      <c r="K19" s="2" t="s">
        <v>47</v>
      </c>
      <c r="L19" s="2" t="s">
        <v>48</v>
      </c>
      <c r="M19" s="2" t="s">
        <v>49</v>
      </c>
    </row>
    <row r="20" spans="1:13" s="1" customFormat="1" ht="29.25" thickBot="1" x14ac:dyDescent="0.3">
      <c r="A20" s="32"/>
      <c r="B20" s="32"/>
      <c r="C20" s="3" t="s">
        <v>50</v>
      </c>
      <c r="D20" s="3" t="s">
        <v>51</v>
      </c>
      <c r="E20" s="3" t="s">
        <v>52</v>
      </c>
      <c r="F20" s="3" t="s">
        <v>53</v>
      </c>
      <c r="G20" s="3" t="s">
        <v>54</v>
      </c>
      <c r="H20" s="3" t="s">
        <v>54</v>
      </c>
      <c r="I20" s="3" t="s">
        <v>55</v>
      </c>
      <c r="J20" s="3" t="s">
        <v>54</v>
      </c>
      <c r="K20" s="3" t="s">
        <v>56</v>
      </c>
      <c r="L20" s="3" t="s">
        <v>54</v>
      </c>
      <c r="M20" s="3" t="s">
        <v>57</v>
      </c>
    </row>
    <row r="21" spans="1:13" s="1" customFormat="1" ht="15" x14ac:dyDescent="0.25">
      <c r="A21" s="4">
        <v>1</v>
      </c>
      <c r="B21" s="4">
        <v>128</v>
      </c>
      <c r="C21" s="4">
        <f>(66*B21-D21)*90%</f>
        <v>6145.2</v>
      </c>
      <c r="D21" s="4">
        <f>60*30*90%</f>
        <v>1620</v>
      </c>
      <c r="E21" s="4">
        <v>3638</v>
      </c>
      <c r="F21" s="4">
        <v>5422</v>
      </c>
      <c r="G21" s="4">
        <f>C21*E21</f>
        <v>22356237.599999998</v>
      </c>
      <c r="H21" s="4">
        <f>D21*F21</f>
        <v>8783640</v>
      </c>
      <c r="I21" s="4">
        <f>G21+H21</f>
        <v>31139877.599999998</v>
      </c>
      <c r="J21" s="4">
        <v>32000000</v>
      </c>
      <c r="K21" s="4">
        <v>0</v>
      </c>
      <c r="L21" s="8">
        <f>I21-J21-K21</f>
        <v>-860122.40000000224</v>
      </c>
      <c r="M21" s="4">
        <v>-537197384</v>
      </c>
    </row>
    <row r="22" spans="1:13" s="1" customFormat="1" ht="15" x14ac:dyDescent="0.25">
      <c r="A22" s="4">
        <v>2</v>
      </c>
      <c r="B22" s="4">
        <v>134</v>
      </c>
      <c r="C22" s="4">
        <f t="shared" ref="C22:C32" si="0">(66*B22-D22)*90%</f>
        <v>6501.6</v>
      </c>
      <c r="D22" s="4">
        <f t="shared" ref="D22:D31" si="1">60*30*90%</f>
        <v>1620</v>
      </c>
      <c r="E22" s="4">
        <v>3638</v>
      </c>
      <c r="F22" s="4">
        <v>5422</v>
      </c>
      <c r="G22" s="4">
        <f t="shared" ref="G22:G85" si="2">C22*E22</f>
        <v>23652820.800000001</v>
      </c>
      <c r="H22" s="4">
        <f>D22*F22</f>
        <v>8783640</v>
      </c>
      <c r="I22" s="4">
        <f t="shared" ref="I22:I85" si="3">G22+H22</f>
        <v>32436460.800000001</v>
      </c>
      <c r="J22" s="4">
        <v>32000000</v>
      </c>
      <c r="K22" s="4">
        <v>0</v>
      </c>
      <c r="L22" s="8">
        <f t="shared" ref="L22:L85" si="4">I22-J22-K22</f>
        <v>436460.80000000075</v>
      </c>
      <c r="M22" s="4">
        <v>-534132832</v>
      </c>
    </row>
    <row r="23" spans="1:13" s="1" customFormat="1" ht="15" x14ac:dyDescent="0.25">
      <c r="A23" s="4">
        <v>3</v>
      </c>
      <c r="B23" s="4">
        <v>148</v>
      </c>
      <c r="C23" s="4">
        <f t="shared" si="0"/>
        <v>7333.2</v>
      </c>
      <c r="D23" s="4">
        <f t="shared" si="1"/>
        <v>1620</v>
      </c>
      <c r="E23" s="4">
        <v>3638</v>
      </c>
      <c r="F23" s="4">
        <v>5422</v>
      </c>
      <c r="G23" s="4">
        <f t="shared" si="2"/>
        <v>26678181.599999998</v>
      </c>
      <c r="H23" s="4">
        <f>D23*F23</f>
        <v>8783640</v>
      </c>
      <c r="I23" s="4">
        <f t="shared" si="3"/>
        <v>35461821.599999994</v>
      </c>
      <c r="J23" s="4">
        <v>32000000</v>
      </c>
      <c r="K23" s="4">
        <v>0</v>
      </c>
      <c r="L23" s="8">
        <f t="shared" si="4"/>
        <v>3461821.599999994</v>
      </c>
      <c r="M23" s="4">
        <v>-527706768</v>
      </c>
    </row>
    <row r="24" spans="1:13" s="1" customFormat="1" ht="15" x14ac:dyDescent="0.25">
      <c r="A24" s="4">
        <v>4</v>
      </c>
      <c r="B24" s="4">
        <v>132</v>
      </c>
      <c r="C24" s="4">
        <f t="shared" si="0"/>
        <v>6382.8</v>
      </c>
      <c r="D24" s="4">
        <f t="shared" si="1"/>
        <v>1620</v>
      </c>
      <c r="E24" s="4">
        <v>3638</v>
      </c>
      <c r="F24" s="4">
        <v>5422</v>
      </c>
      <c r="G24" s="4">
        <f t="shared" si="2"/>
        <v>23220626.400000002</v>
      </c>
      <c r="H24" s="4">
        <f t="shared" ref="H24:H87" si="5">D24*F24</f>
        <v>8783640</v>
      </c>
      <c r="I24" s="4">
        <f t="shared" si="3"/>
        <v>32004266.400000002</v>
      </c>
      <c r="J24" s="4">
        <v>32000000</v>
      </c>
      <c r="K24" s="4">
        <v>0</v>
      </c>
      <c r="L24" s="8">
        <f t="shared" si="4"/>
        <v>4266.4000000022352</v>
      </c>
      <c r="M24" s="4">
        <v>-525122432</v>
      </c>
    </row>
    <row r="25" spans="1:13" s="1" customFormat="1" ht="15" x14ac:dyDescent="0.25">
      <c r="A25" s="4">
        <v>5</v>
      </c>
      <c r="B25" s="4">
        <v>118</v>
      </c>
      <c r="C25" s="4">
        <f t="shared" si="0"/>
        <v>5551.2</v>
      </c>
      <c r="D25" s="4">
        <f t="shared" si="1"/>
        <v>1620</v>
      </c>
      <c r="E25" s="4">
        <v>3638</v>
      </c>
      <c r="F25" s="4">
        <v>5422</v>
      </c>
      <c r="G25" s="4">
        <f t="shared" si="2"/>
        <v>20195265.599999998</v>
      </c>
      <c r="H25" s="4">
        <f t="shared" si="5"/>
        <v>8783640</v>
      </c>
      <c r="I25" s="4">
        <f t="shared" si="3"/>
        <v>28978905.599999998</v>
      </c>
      <c r="J25" s="4">
        <v>32000000</v>
      </c>
      <c r="K25" s="4">
        <v>0</v>
      </c>
      <c r="L25" s="8">
        <f t="shared" si="4"/>
        <v>-3021094.4000000022</v>
      </c>
      <c r="M25" s="4">
        <v>-525899608</v>
      </c>
    </row>
    <row r="26" spans="1:13" s="1" customFormat="1" ht="15" x14ac:dyDescent="0.25">
      <c r="A26" s="4">
        <v>6</v>
      </c>
      <c r="B26" s="4">
        <v>107</v>
      </c>
      <c r="C26" s="4">
        <f t="shared" si="0"/>
        <v>4897.8</v>
      </c>
      <c r="D26" s="4">
        <f t="shared" si="1"/>
        <v>1620</v>
      </c>
      <c r="E26" s="4">
        <v>3638</v>
      </c>
      <c r="F26" s="4">
        <v>5422</v>
      </c>
      <c r="G26" s="4">
        <f t="shared" si="2"/>
        <v>17818196.400000002</v>
      </c>
      <c r="H26" s="4">
        <f t="shared" si="5"/>
        <v>8783640</v>
      </c>
      <c r="I26" s="4">
        <f t="shared" si="3"/>
        <v>26601836.400000002</v>
      </c>
      <c r="J26" s="4">
        <v>32000000</v>
      </c>
      <c r="K26" s="4">
        <v>0</v>
      </c>
      <c r="L26" s="8">
        <f t="shared" si="4"/>
        <v>-5398163.5999999978</v>
      </c>
      <c r="M26" s="4">
        <v>-529317972</v>
      </c>
    </row>
    <row r="27" spans="1:13" s="1" customFormat="1" ht="15" x14ac:dyDescent="0.25">
      <c r="A27" s="4">
        <v>7</v>
      </c>
      <c r="B27" s="4">
        <v>107</v>
      </c>
      <c r="C27" s="4">
        <f t="shared" si="0"/>
        <v>4897.8</v>
      </c>
      <c r="D27" s="4">
        <f t="shared" si="1"/>
        <v>1620</v>
      </c>
      <c r="E27" s="4">
        <v>3638</v>
      </c>
      <c r="F27" s="4">
        <v>5422</v>
      </c>
      <c r="G27" s="4">
        <f t="shared" si="2"/>
        <v>17818196.400000002</v>
      </c>
      <c r="H27" s="4">
        <f t="shared" si="5"/>
        <v>8783640</v>
      </c>
      <c r="I27" s="4">
        <f t="shared" si="3"/>
        <v>26601836.400000002</v>
      </c>
      <c r="J27" s="4">
        <v>32000000</v>
      </c>
      <c r="K27" s="4">
        <v>0</v>
      </c>
      <c r="L27" s="8">
        <f t="shared" si="4"/>
        <v>-5398163.5999999978</v>
      </c>
      <c r="M27" s="4">
        <v>-532736336</v>
      </c>
    </row>
    <row r="28" spans="1:13" s="1" customFormat="1" ht="15" x14ac:dyDescent="0.25">
      <c r="A28" s="4">
        <v>8</v>
      </c>
      <c r="B28" s="4">
        <v>114</v>
      </c>
      <c r="C28" s="4">
        <f t="shared" si="0"/>
        <v>5313.6</v>
      </c>
      <c r="D28" s="4">
        <f t="shared" si="1"/>
        <v>1620</v>
      </c>
      <c r="E28" s="4">
        <v>3638</v>
      </c>
      <c r="F28" s="4">
        <v>5422</v>
      </c>
      <c r="G28" s="4">
        <f>C28*E28</f>
        <v>19330876.800000001</v>
      </c>
      <c r="H28" s="4">
        <f t="shared" si="5"/>
        <v>8783640</v>
      </c>
      <c r="I28" s="4">
        <f t="shared" si="3"/>
        <v>28114516.800000001</v>
      </c>
      <c r="J28" s="4">
        <v>32000000</v>
      </c>
      <c r="K28" s="4">
        <v>0</v>
      </c>
      <c r="L28" s="8">
        <f t="shared" si="4"/>
        <v>-3885483.1999999993</v>
      </c>
      <c r="M28" s="4">
        <v>-534473944</v>
      </c>
    </row>
    <row r="29" spans="1:13" s="1" customFormat="1" ht="15" x14ac:dyDescent="0.25">
      <c r="A29" s="4">
        <v>9</v>
      </c>
      <c r="B29" s="4">
        <v>105</v>
      </c>
      <c r="C29" s="4">
        <f t="shared" si="0"/>
        <v>4779</v>
      </c>
      <c r="D29" s="4">
        <f t="shared" si="1"/>
        <v>1620</v>
      </c>
      <c r="E29" s="4">
        <v>3638</v>
      </c>
      <c r="F29" s="4">
        <v>5422</v>
      </c>
      <c r="G29" s="4">
        <f t="shared" si="2"/>
        <v>17386002</v>
      </c>
      <c r="H29" s="4">
        <f t="shared" si="5"/>
        <v>8783640</v>
      </c>
      <c r="I29" s="4">
        <f t="shared" si="3"/>
        <v>26169642</v>
      </c>
      <c r="J29" s="4">
        <v>32000000</v>
      </c>
      <c r="K29" s="4">
        <v>0</v>
      </c>
      <c r="L29" s="8">
        <f t="shared" si="4"/>
        <v>-5830358</v>
      </c>
      <c r="M29" s="4">
        <v>-538372524</v>
      </c>
    </row>
    <row r="30" spans="1:13" s="1" customFormat="1" ht="15" x14ac:dyDescent="0.25">
      <c r="A30" s="4">
        <v>10</v>
      </c>
      <c r="B30" s="4">
        <v>115</v>
      </c>
      <c r="C30" s="4">
        <f t="shared" si="0"/>
        <v>5373</v>
      </c>
      <c r="D30" s="4">
        <f t="shared" si="1"/>
        <v>1620</v>
      </c>
      <c r="E30" s="4">
        <v>3638</v>
      </c>
      <c r="F30" s="4">
        <v>5422</v>
      </c>
      <c r="G30" s="4">
        <f t="shared" si="2"/>
        <v>19546974</v>
      </c>
      <c r="H30" s="4">
        <f t="shared" si="5"/>
        <v>8783640</v>
      </c>
      <c r="I30" s="4">
        <f t="shared" si="3"/>
        <v>28330614</v>
      </c>
      <c r="J30" s="4">
        <v>32000000</v>
      </c>
      <c r="K30" s="4">
        <v>0</v>
      </c>
      <c r="L30" s="8">
        <f t="shared" si="4"/>
        <v>-3669386</v>
      </c>
      <c r="M30" s="4">
        <v>-539870024</v>
      </c>
    </row>
    <row r="31" spans="1:13" s="1" customFormat="1" ht="15" x14ac:dyDescent="0.25">
      <c r="A31" s="4">
        <v>11</v>
      </c>
      <c r="B31" s="4">
        <v>118</v>
      </c>
      <c r="C31" s="4">
        <f t="shared" si="0"/>
        <v>5551.2</v>
      </c>
      <c r="D31" s="4">
        <f t="shared" si="1"/>
        <v>1620</v>
      </c>
      <c r="E31" s="4">
        <v>3638</v>
      </c>
      <c r="F31" s="4">
        <v>5422</v>
      </c>
      <c r="G31" s="4">
        <f t="shared" si="2"/>
        <v>20195265.599999998</v>
      </c>
      <c r="H31" s="4">
        <f t="shared" si="5"/>
        <v>8783640</v>
      </c>
      <c r="I31" s="4">
        <f t="shared" si="3"/>
        <v>28978905.599999998</v>
      </c>
      <c r="J31" s="4">
        <v>32000000</v>
      </c>
      <c r="K31" s="4">
        <v>0</v>
      </c>
      <c r="L31" s="8">
        <f t="shared" si="4"/>
        <v>-3021094.4000000022</v>
      </c>
      <c r="M31" s="4">
        <v>-540647200</v>
      </c>
    </row>
    <row r="32" spans="1:13" s="1" customFormat="1" ht="15" x14ac:dyDescent="0.25">
      <c r="A32" s="4">
        <v>12</v>
      </c>
      <c r="B32" s="4">
        <v>120</v>
      </c>
      <c r="C32" s="4">
        <f t="shared" si="0"/>
        <v>5670</v>
      </c>
      <c r="D32" s="4">
        <f>60*30*90%</f>
        <v>1620</v>
      </c>
      <c r="E32" s="4">
        <v>3638</v>
      </c>
      <c r="F32" s="4">
        <v>5422</v>
      </c>
      <c r="G32" s="4">
        <f t="shared" si="2"/>
        <v>20627460</v>
      </c>
      <c r="H32" s="4">
        <f t="shared" si="5"/>
        <v>8783640</v>
      </c>
      <c r="I32" s="4">
        <f t="shared" si="3"/>
        <v>29411100</v>
      </c>
      <c r="J32" s="4">
        <v>32000000</v>
      </c>
      <c r="K32" s="4">
        <v>0</v>
      </c>
      <c r="L32" s="8">
        <f t="shared" si="4"/>
        <v>-2588900</v>
      </c>
      <c r="M32" s="4">
        <v>-540944160</v>
      </c>
    </row>
    <row r="33" spans="1:13" s="1" customFormat="1" ht="15" x14ac:dyDescent="0.25">
      <c r="A33" s="4">
        <v>13</v>
      </c>
      <c r="B33" s="4">
        <v>128</v>
      </c>
      <c r="C33" s="4">
        <f>ROUND(C21*0.95,0)</f>
        <v>5838</v>
      </c>
      <c r="D33" s="4">
        <f>ROUND(D21*90%,0)</f>
        <v>1458</v>
      </c>
      <c r="E33" s="4">
        <f>E21*1.05</f>
        <v>3819.9</v>
      </c>
      <c r="F33" s="4">
        <f>F21*1.05</f>
        <v>5693.1</v>
      </c>
      <c r="G33" s="4">
        <f t="shared" si="2"/>
        <v>22300576.199999999</v>
      </c>
      <c r="H33" s="4">
        <f t="shared" si="5"/>
        <v>8300539.8000000007</v>
      </c>
      <c r="I33" s="4">
        <f t="shared" si="3"/>
        <v>30601116</v>
      </c>
      <c r="J33" s="4">
        <v>32000000</v>
      </c>
      <c r="K33" s="4">
        <v>0</v>
      </c>
      <c r="L33" s="8">
        <f t="shared" si="4"/>
        <v>-1398884</v>
      </c>
      <c r="M33" s="4">
        <v>-538144426</v>
      </c>
    </row>
    <row r="34" spans="1:13" s="1" customFormat="1" ht="15" x14ac:dyDescent="0.25">
      <c r="A34" s="4">
        <v>14</v>
      </c>
      <c r="B34" s="4">
        <v>134</v>
      </c>
      <c r="C34" s="4">
        <f t="shared" ref="C34:C97" si="6">ROUND(C22*0.95,0)</f>
        <v>6177</v>
      </c>
      <c r="D34" s="4">
        <f t="shared" ref="D34:D97" si="7">ROUND(D22*90%,0)</f>
        <v>1458</v>
      </c>
      <c r="E34" s="4">
        <f t="shared" ref="E34:E97" si="8">E22*1.05</f>
        <v>3819.9</v>
      </c>
      <c r="F34" s="4">
        <f t="shared" ref="F34:F97" si="9">F22*1.05</f>
        <v>5693.1</v>
      </c>
      <c r="G34" s="4">
        <f t="shared" si="2"/>
        <v>23595522.300000001</v>
      </c>
      <c r="H34" s="4">
        <f t="shared" si="5"/>
        <v>8300539.8000000007</v>
      </c>
      <c r="I34" s="4">
        <f t="shared" si="3"/>
        <v>31896062.100000001</v>
      </c>
      <c r="J34" s="4">
        <v>32000000</v>
      </c>
      <c r="K34" s="4">
        <v>0</v>
      </c>
      <c r="L34" s="8">
        <f t="shared" si="4"/>
        <v>-103937.89999999851</v>
      </c>
      <c r="M34" s="4">
        <v>-535077292</v>
      </c>
    </row>
    <row r="35" spans="1:13" s="1" customFormat="1" ht="15" x14ac:dyDescent="0.25">
      <c r="A35" s="4">
        <v>15</v>
      </c>
      <c r="B35" s="4">
        <v>148</v>
      </c>
      <c r="C35" s="4">
        <f t="shared" si="6"/>
        <v>6967</v>
      </c>
      <c r="D35" s="4">
        <f t="shared" si="7"/>
        <v>1458</v>
      </c>
      <c r="E35" s="4">
        <f t="shared" si="8"/>
        <v>3819.9</v>
      </c>
      <c r="F35" s="4">
        <f t="shared" si="9"/>
        <v>5693.1</v>
      </c>
      <c r="G35" s="4">
        <f t="shared" si="2"/>
        <v>26613243.300000001</v>
      </c>
      <c r="H35" s="4">
        <f t="shared" si="5"/>
        <v>8300539.8000000007</v>
      </c>
      <c r="I35" s="4">
        <f t="shared" si="3"/>
        <v>34913783.100000001</v>
      </c>
      <c r="J35" s="4">
        <v>32000000</v>
      </c>
      <c r="K35" s="4">
        <v>0</v>
      </c>
      <c r="L35" s="8">
        <f t="shared" si="4"/>
        <v>2913783.1000000015</v>
      </c>
      <c r="M35" s="4">
        <v>-528583618</v>
      </c>
    </row>
    <row r="36" spans="1:13" s="1" customFormat="1" ht="15" x14ac:dyDescent="0.25">
      <c r="A36" s="4">
        <v>16</v>
      </c>
      <c r="B36" s="4">
        <v>132</v>
      </c>
      <c r="C36" s="4">
        <f t="shared" si="6"/>
        <v>6064</v>
      </c>
      <c r="D36" s="4">
        <f t="shared" si="7"/>
        <v>1458</v>
      </c>
      <c r="E36" s="4">
        <f t="shared" si="8"/>
        <v>3819.9</v>
      </c>
      <c r="F36" s="4">
        <f t="shared" si="9"/>
        <v>5693.1</v>
      </c>
      <c r="G36" s="4">
        <f t="shared" si="2"/>
        <v>23163873.600000001</v>
      </c>
      <c r="H36" s="4">
        <f t="shared" si="5"/>
        <v>8300539.8000000007</v>
      </c>
      <c r="I36" s="4">
        <f t="shared" si="3"/>
        <v>31464413.400000002</v>
      </c>
      <c r="J36" s="4">
        <v>32000000</v>
      </c>
      <c r="K36" s="4">
        <v>0</v>
      </c>
      <c r="L36" s="8">
        <f t="shared" si="4"/>
        <v>-535586.59999999776</v>
      </c>
      <c r="M36" s="4">
        <v>-526005444</v>
      </c>
    </row>
    <row r="37" spans="1:13" s="1" customFormat="1" ht="15" x14ac:dyDescent="0.25">
      <c r="A37" s="4">
        <v>17</v>
      </c>
      <c r="B37" s="4">
        <v>118</v>
      </c>
      <c r="C37" s="4">
        <f t="shared" si="6"/>
        <v>5274</v>
      </c>
      <c r="D37" s="4">
        <f t="shared" si="7"/>
        <v>1458</v>
      </c>
      <c r="E37" s="4">
        <f t="shared" si="8"/>
        <v>3819.9</v>
      </c>
      <c r="F37" s="4">
        <f t="shared" si="9"/>
        <v>5693.1</v>
      </c>
      <c r="G37" s="4">
        <f t="shared" si="2"/>
        <v>20146152.600000001</v>
      </c>
      <c r="H37" s="4">
        <f t="shared" si="5"/>
        <v>8300539.8000000007</v>
      </c>
      <c r="I37" s="4">
        <f t="shared" si="3"/>
        <v>28446692.400000002</v>
      </c>
      <c r="J37" s="4">
        <v>32000000</v>
      </c>
      <c r="K37" s="4">
        <v>0</v>
      </c>
      <c r="L37" s="8">
        <f t="shared" si="4"/>
        <v>-3553307.5999999978</v>
      </c>
      <c r="M37" s="4">
        <v>-526849990</v>
      </c>
    </row>
    <row r="38" spans="1:13" s="1" customFormat="1" ht="15" x14ac:dyDescent="0.25">
      <c r="A38" s="4">
        <v>18</v>
      </c>
      <c r="B38" s="4">
        <v>107</v>
      </c>
      <c r="C38" s="4">
        <f t="shared" si="6"/>
        <v>4653</v>
      </c>
      <c r="D38" s="4">
        <f t="shared" si="7"/>
        <v>1458</v>
      </c>
      <c r="E38" s="4">
        <f t="shared" si="8"/>
        <v>3819.9</v>
      </c>
      <c r="F38" s="4">
        <f t="shared" si="9"/>
        <v>5693.1</v>
      </c>
      <c r="G38" s="4">
        <f t="shared" si="2"/>
        <v>17773994.699999999</v>
      </c>
      <c r="H38" s="4">
        <f t="shared" si="5"/>
        <v>8300539.8000000007</v>
      </c>
      <c r="I38" s="4">
        <f t="shared" si="3"/>
        <v>26074534.5</v>
      </c>
      <c r="J38" s="4">
        <v>32000000</v>
      </c>
      <c r="K38" s="4">
        <v>0</v>
      </c>
      <c r="L38" s="8">
        <f t="shared" si="4"/>
        <v>-5925465.5</v>
      </c>
      <c r="M38" s="4">
        <v>-530383816</v>
      </c>
    </row>
    <row r="39" spans="1:13" s="1" customFormat="1" ht="15" x14ac:dyDescent="0.25">
      <c r="A39" s="4">
        <v>19</v>
      </c>
      <c r="B39" s="4">
        <v>107</v>
      </c>
      <c r="C39" s="4">
        <f t="shared" si="6"/>
        <v>4653</v>
      </c>
      <c r="D39" s="4">
        <f t="shared" si="7"/>
        <v>1458</v>
      </c>
      <c r="E39" s="4">
        <f t="shared" si="8"/>
        <v>3819.9</v>
      </c>
      <c r="F39" s="4">
        <f t="shared" si="9"/>
        <v>5693.1</v>
      </c>
      <c r="G39" s="4">
        <f t="shared" si="2"/>
        <v>17773994.699999999</v>
      </c>
      <c r="H39" s="4">
        <f t="shared" si="5"/>
        <v>8300539.8000000007</v>
      </c>
      <c r="I39" s="4">
        <f t="shared" si="3"/>
        <v>26074534.5</v>
      </c>
      <c r="J39" s="4">
        <v>32000000</v>
      </c>
      <c r="K39" s="4">
        <v>0</v>
      </c>
      <c r="L39" s="8">
        <f t="shared" si="4"/>
        <v>-5925465.5</v>
      </c>
      <c r="M39" s="4">
        <v>-533917642</v>
      </c>
    </row>
    <row r="40" spans="1:13" s="1" customFormat="1" ht="15" x14ac:dyDescent="0.25">
      <c r="A40" s="4">
        <v>20</v>
      </c>
      <c r="B40" s="4">
        <v>114</v>
      </c>
      <c r="C40" s="4">
        <f t="shared" si="6"/>
        <v>5048</v>
      </c>
      <c r="D40" s="4">
        <f t="shared" si="7"/>
        <v>1458</v>
      </c>
      <c r="E40" s="4">
        <f t="shared" si="8"/>
        <v>3819.9</v>
      </c>
      <c r="F40" s="4">
        <f t="shared" si="9"/>
        <v>5693.1</v>
      </c>
      <c r="G40" s="4">
        <f t="shared" si="2"/>
        <v>19282855.199999999</v>
      </c>
      <c r="H40" s="4">
        <f t="shared" si="5"/>
        <v>8300539.8000000007</v>
      </c>
      <c r="I40" s="4">
        <f t="shared" si="3"/>
        <v>27583395</v>
      </c>
      <c r="J40" s="4">
        <v>32000000</v>
      </c>
      <c r="K40" s="4">
        <v>0</v>
      </c>
      <c r="L40" s="8">
        <f t="shared" si="4"/>
        <v>-4416605</v>
      </c>
      <c r="M40" s="4">
        <v>-535740108</v>
      </c>
    </row>
    <row r="41" spans="1:13" s="1" customFormat="1" ht="15" x14ac:dyDescent="0.25">
      <c r="A41" s="4">
        <v>21</v>
      </c>
      <c r="B41" s="4">
        <v>105</v>
      </c>
      <c r="C41" s="4">
        <f t="shared" si="6"/>
        <v>4540</v>
      </c>
      <c r="D41" s="4">
        <f t="shared" si="7"/>
        <v>1458</v>
      </c>
      <c r="E41" s="4">
        <f t="shared" si="8"/>
        <v>3819.9</v>
      </c>
      <c r="F41" s="4">
        <f t="shared" si="9"/>
        <v>5693.1</v>
      </c>
      <c r="G41" s="4">
        <f t="shared" si="2"/>
        <v>17342346</v>
      </c>
      <c r="H41" s="4">
        <f t="shared" si="5"/>
        <v>8300539.8000000007</v>
      </c>
      <c r="I41" s="4">
        <f t="shared" si="3"/>
        <v>25642885.800000001</v>
      </c>
      <c r="J41" s="4">
        <v>32000000</v>
      </c>
      <c r="K41" s="4">
        <v>0</v>
      </c>
      <c r="L41" s="8">
        <f t="shared" si="4"/>
        <v>-6357114.1999999993</v>
      </c>
      <c r="M41" s="4">
        <v>-539762894</v>
      </c>
    </row>
    <row r="42" spans="1:13" s="1" customFormat="1" ht="15" x14ac:dyDescent="0.25">
      <c r="A42" s="4">
        <v>22</v>
      </c>
      <c r="B42" s="4">
        <v>115</v>
      </c>
      <c r="C42" s="4">
        <f t="shared" si="6"/>
        <v>5104</v>
      </c>
      <c r="D42" s="4">
        <f t="shared" si="7"/>
        <v>1458</v>
      </c>
      <c r="E42" s="4">
        <f t="shared" si="8"/>
        <v>3819.9</v>
      </c>
      <c r="F42" s="4">
        <f t="shared" si="9"/>
        <v>5693.1</v>
      </c>
      <c r="G42" s="4">
        <f t="shared" si="2"/>
        <v>19496769.600000001</v>
      </c>
      <c r="H42" s="4">
        <f t="shared" si="5"/>
        <v>8300539.8000000007</v>
      </c>
      <c r="I42" s="4">
        <f t="shared" si="3"/>
        <v>27797309.400000002</v>
      </c>
      <c r="J42" s="4">
        <v>32000000</v>
      </c>
      <c r="K42" s="4">
        <v>0</v>
      </c>
      <c r="L42" s="8">
        <f t="shared" si="4"/>
        <v>-4202690.5999999978</v>
      </c>
      <c r="M42" s="4">
        <v>-541340880</v>
      </c>
    </row>
    <row r="43" spans="1:13" s="1" customFormat="1" ht="15" x14ac:dyDescent="0.25">
      <c r="A43" s="4">
        <v>23</v>
      </c>
      <c r="B43" s="4">
        <v>118</v>
      </c>
      <c r="C43" s="4">
        <f t="shared" si="6"/>
        <v>5274</v>
      </c>
      <c r="D43" s="4">
        <f t="shared" si="7"/>
        <v>1458</v>
      </c>
      <c r="E43" s="4">
        <f t="shared" si="8"/>
        <v>3819.9</v>
      </c>
      <c r="F43" s="4">
        <f t="shared" si="9"/>
        <v>5693.1</v>
      </c>
      <c r="G43" s="4">
        <f t="shared" si="2"/>
        <v>20146152.600000001</v>
      </c>
      <c r="H43" s="4">
        <f t="shared" si="5"/>
        <v>8300539.8000000007</v>
      </c>
      <c r="I43" s="4">
        <f t="shared" si="3"/>
        <v>28446692.400000002</v>
      </c>
      <c r="J43" s="4">
        <v>32000000</v>
      </c>
      <c r="K43" s="4">
        <v>0</v>
      </c>
      <c r="L43" s="8">
        <f t="shared" si="4"/>
        <v>-3553307.5999999978</v>
      </c>
      <c r="M43" s="4">
        <v>-542185426</v>
      </c>
    </row>
    <row r="44" spans="1:13" s="1" customFormat="1" ht="15" x14ac:dyDescent="0.25">
      <c r="A44" s="4">
        <v>24</v>
      </c>
      <c r="B44" s="4">
        <v>120</v>
      </c>
      <c r="C44" s="4">
        <f t="shared" si="6"/>
        <v>5387</v>
      </c>
      <c r="D44" s="4">
        <f t="shared" si="7"/>
        <v>1458</v>
      </c>
      <c r="E44" s="4">
        <f t="shared" si="8"/>
        <v>3819.9</v>
      </c>
      <c r="F44" s="4">
        <f t="shared" si="9"/>
        <v>5693.1</v>
      </c>
      <c r="G44" s="4">
        <f t="shared" si="2"/>
        <v>20577801.300000001</v>
      </c>
      <c r="H44" s="4">
        <f t="shared" si="5"/>
        <v>8300539.8000000007</v>
      </c>
      <c r="I44" s="4">
        <f t="shared" si="3"/>
        <v>28878341.100000001</v>
      </c>
      <c r="J44" s="4">
        <v>32000000</v>
      </c>
      <c r="K44" s="4">
        <v>0</v>
      </c>
      <c r="L44" s="8">
        <f t="shared" si="4"/>
        <v>-3121658.8999999985</v>
      </c>
      <c r="M44" s="4">
        <v>-542541012</v>
      </c>
    </row>
    <row r="45" spans="1:13" s="1" customFormat="1" ht="15" x14ac:dyDescent="0.25">
      <c r="A45" s="4">
        <v>25</v>
      </c>
      <c r="B45" s="4">
        <v>128</v>
      </c>
      <c r="C45" s="4">
        <f t="shared" si="6"/>
        <v>5546</v>
      </c>
      <c r="D45" s="4">
        <f t="shared" si="7"/>
        <v>1312</v>
      </c>
      <c r="E45" s="4">
        <f t="shared" si="8"/>
        <v>4010.8950000000004</v>
      </c>
      <c r="F45" s="4">
        <f t="shared" si="9"/>
        <v>5977.755000000001</v>
      </c>
      <c r="G45" s="4">
        <f t="shared" si="2"/>
        <v>22244423.670000002</v>
      </c>
      <c r="H45" s="4">
        <f t="shared" si="5"/>
        <v>7842814.5600000015</v>
      </c>
      <c r="I45" s="4">
        <f t="shared" si="3"/>
        <v>30087238.230000004</v>
      </c>
      <c r="J45" s="4">
        <v>32000000</v>
      </c>
      <c r="K45" s="4">
        <v>0</v>
      </c>
      <c r="L45" s="8">
        <f t="shared" si="4"/>
        <v>-1912761.7699999958</v>
      </c>
      <c r="M45" s="4">
        <v>-539707857</v>
      </c>
    </row>
    <row r="46" spans="1:13" s="1" customFormat="1" ht="15" x14ac:dyDescent="0.25">
      <c r="A46" s="4">
        <v>26</v>
      </c>
      <c r="B46" s="4">
        <v>134</v>
      </c>
      <c r="C46" s="4">
        <f t="shared" si="6"/>
        <v>5868</v>
      </c>
      <c r="D46" s="4">
        <f t="shared" si="7"/>
        <v>1312</v>
      </c>
      <c r="E46" s="4">
        <f t="shared" si="8"/>
        <v>4010.8950000000004</v>
      </c>
      <c r="F46" s="4">
        <f t="shared" si="9"/>
        <v>5977.755000000001</v>
      </c>
      <c r="G46" s="4">
        <f t="shared" si="2"/>
        <v>23535931.860000003</v>
      </c>
      <c r="H46" s="4">
        <f t="shared" si="5"/>
        <v>7842814.5600000015</v>
      </c>
      <c r="I46" s="4">
        <f t="shared" si="3"/>
        <v>31378746.420000006</v>
      </c>
      <c r="J46" s="4">
        <v>32000000</v>
      </c>
      <c r="K46" s="4">
        <v>0</v>
      </c>
      <c r="L46" s="8">
        <f t="shared" si="4"/>
        <v>-621253.57999999449</v>
      </c>
      <c r="M46" s="4">
        <v>-536601954</v>
      </c>
    </row>
    <row r="47" spans="1:13" s="1" customFormat="1" ht="15" x14ac:dyDescent="0.25">
      <c r="A47" s="4">
        <v>27</v>
      </c>
      <c r="B47" s="4">
        <v>148</v>
      </c>
      <c r="C47" s="4">
        <f t="shared" si="6"/>
        <v>6619</v>
      </c>
      <c r="D47" s="4">
        <f t="shared" si="7"/>
        <v>1312</v>
      </c>
      <c r="E47" s="4">
        <f t="shared" si="8"/>
        <v>4010.8950000000004</v>
      </c>
      <c r="F47" s="4">
        <f t="shared" si="9"/>
        <v>5977.755000000001</v>
      </c>
      <c r="G47" s="4">
        <f t="shared" si="2"/>
        <v>26548114.005000003</v>
      </c>
      <c r="H47" s="4">
        <f t="shared" si="5"/>
        <v>7842814.5600000015</v>
      </c>
      <c r="I47" s="4">
        <f t="shared" si="3"/>
        <v>34390928.565000005</v>
      </c>
      <c r="J47" s="4">
        <v>32000000</v>
      </c>
      <c r="K47" s="4">
        <v>0</v>
      </c>
      <c r="L47" s="8">
        <f t="shared" si="4"/>
        <v>2390928.5650000051</v>
      </c>
      <c r="M47" s="4">
        <v>-530006481</v>
      </c>
    </row>
    <row r="48" spans="1:13" s="1" customFormat="1" ht="15" x14ac:dyDescent="0.25">
      <c r="A48" s="4">
        <v>28</v>
      </c>
      <c r="B48" s="4">
        <v>132</v>
      </c>
      <c r="C48" s="4">
        <f t="shared" si="6"/>
        <v>5761</v>
      </c>
      <c r="D48" s="4">
        <f t="shared" si="7"/>
        <v>1312</v>
      </c>
      <c r="E48" s="4">
        <f t="shared" si="8"/>
        <v>4010.8950000000004</v>
      </c>
      <c r="F48" s="4">
        <f t="shared" si="9"/>
        <v>5977.755000000001</v>
      </c>
      <c r="G48" s="4">
        <f t="shared" si="2"/>
        <v>23106766.095000003</v>
      </c>
      <c r="H48" s="4">
        <f t="shared" si="5"/>
        <v>7842814.5600000015</v>
      </c>
      <c r="I48" s="4">
        <f t="shared" si="3"/>
        <v>30949580.655000005</v>
      </c>
      <c r="J48" s="4">
        <v>32000000</v>
      </c>
      <c r="K48" s="4">
        <v>0</v>
      </c>
      <c r="L48" s="8">
        <f t="shared" si="4"/>
        <v>-1050419.3449999951</v>
      </c>
      <c r="M48" s="4">
        <v>-527397942</v>
      </c>
    </row>
    <row r="49" spans="1:13" s="1" customFormat="1" ht="15" x14ac:dyDescent="0.25">
      <c r="A49" s="4">
        <v>29</v>
      </c>
      <c r="B49" s="4">
        <v>118</v>
      </c>
      <c r="C49" s="4">
        <f t="shared" si="6"/>
        <v>5010</v>
      </c>
      <c r="D49" s="4">
        <f t="shared" si="7"/>
        <v>1312</v>
      </c>
      <c r="E49" s="4">
        <f t="shared" si="8"/>
        <v>4010.8950000000004</v>
      </c>
      <c r="F49" s="4">
        <f t="shared" si="9"/>
        <v>5977.755000000001</v>
      </c>
      <c r="G49" s="4">
        <f t="shared" si="2"/>
        <v>20094583.950000003</v>
      </c>
      <c r="H49" s="4">
        <f t="shared" si="5"/>
        <v>7842814.5600000015</v>
      </c>
      <c r="I49" s="4">
        <f t="shared" si="3"/>
        <v>27937398.510000005</v>
      </c>
      <c r="J49" s="4">
        <v>32000000</v>
      </c>
      <c r="K49" s="4">
        <v>0</v>
      </c>
      <c r="L49" s="8">
        <f t="shared" si="4"/>
        <v>-4062601.4899999946</v>
      </c>
      <c r="M49" s="4">
        <v>-528274962</v>
      </c>
    </row>
    <row r="50" spans="1:13" s="1" customFormat="1" ht="15" x14ac:dyDescent="0.25">
      <c r="A50" s="4">
        <v>30</v>
      </c>
      <c r="B50" s="4">
        <v>107</v>
      </c>
      <c r="C50" s="4">
        <f t="shared" si="6"/>
        <v>4420</v>
      </c>
      <c r="D50" s="4">
        <f t="shared" si="7"/>
        <v>1312</v>
      </c>
      <c r="E50" s="4">
        <f t="shared" si="8"/>
        <v>4010.8950000000004</v>
      </c>
      <c r="F50" s="4">
        <f t="shared" si="9"/>
        <v>5977.755000000001</v>
      </c>
      <c r="G50" s="4">
        <f t="shared" si="2"/>
        <v>17728155.900000002</v>
      </c>
      <c r="H50" s="4">
        <f t="shared" si="5"/>
        <v>7842814.5600000015</v>
      </c>
      <c r="I50" s="4">
        <f t="shared" si="3"/>
        <v>25570970.460000005</v>
      </c>
      <c r="J50" s="4">
        <v>32000000</v>
      </c>
      <c r="K50" s="4">
        <v>0</v>
      </c>
      <c r="L50" s="8">
        <f t="shared" si="4"/>
        <v>-6429029.5399999954</v>
      </c>
      <c r="M50" s="4">
        <v>-531891495</v>
      </c>
    </row>
    <row r="51" spans="1:13" s="1" customFormat="1" ht="15" x14ac:dyDescent="0.25">
      <c r="A51" s="4">
        <v>31</v>
      </c>
      <c r="B51" s="4">
        <v>107</v>
      </c>
      <c r="C51" s="4">
        <f t="shared" si="6"/>
        <v>4420</v>
      </c>
      <c r="D51" s="4">
        <f t="shared" si="7"/>
        <v>1312</v>
      </c>
      <c r="E51" s="4">
        <f t="shared" si="8"/>
        <v>4010.8950000000004</v>
      </c>
      <c r="F51" s="4">
        <f t="shared" si="9"/>
        <v>5977.755000000001</v>
      </c>
      <c r="G51" s="4">
        <f t="shared" si="2"/>
        <v>17728155.900000002</v>
      </c>
      <c r="H51" s="4">
        <f t="shared" si="5"/>
        <v>7842814.5600000015</v>
      </c>
      <c r="I51" s="4">
        <f t="shared" si="3"/>
        <v>25570970.460000005</v>
      </c>
      <c r="J51" s="4">
        <v>32000000</v>
      </c>
      <c r="K51" s="4">
        <v>0</v>
      </c>
      <c r="L51" s="8">
        <f t="shared" si="4"/>
        <v>-6429029.5399999954</v>
      </c>
      <c r="M51" s="4">
        <v>-535508028</v>
      </c>
    </row>
    <row r="52" spans="1:13" s="1" customFormat="1" ht="15" x14ac:dyDescent="0.25">
      <c r="A52" s="4">
        <v>32</v>
      </c>
      <c r="B52" s="4">
        <v>114</v>
      </c>
      <c r="C52" s="4">
        <f t="shared" si="6"/>
        <v>4796</v>
      </c>
      <c r="D52" s="4">
        <f t="shared" si="7"/>
        <v>1312</v>
      </c>
      <c r="E52" s="4">
        <f t="shared" si="8"/>
        <v>4010.8950000000004</v>
      </c>
      <c r="F52" s="4">
        <f t="shared" si="9"/>
        <v>5977.755000000001</v>
      </c>
      <c r="G52" s="4">
        <f t="shared" si="2"/>
        <v>19236252.420000002</v>
      </c>
      <c r="H52" s="4">
        <f t="shared" si="5"/>
        <v>7842814.5600000015</v>
      </c>
      <c r="I52" s="4">
        <f t="shared" si="3"/>
        <v>27079066.980000004</v>
      </c>
      <c r="J52" s="4">
        <v>32000000</v>
      </c>
      <c r="K52" s="4">
        <v>0</v>
      </c>
      <c r="L52" s="8">
        <f t="shared" si="4"/>
        <v>-4920933.0199999958</v>
      </c>
      <c r="M52" s="4">
        <v>-537383787</v>
      </c>
    </row>
    <row r="53" spans="1:13" s="1" customFormat="1" ht="15" x14ac:dyDescent="0.25">
      <c r="A53" s="4">
        <v>33</v>
      </c>
      <c r="B53" s="4">
        <v>105</v>
      </c>
      <c r="C53" s="4">
        <f t="shared" si="6"/>
        <v>4313</v>
      </c>
      <c r="D53" s="4">
        <f t="shared" si="7"/>
        <v>1312</v>
      </c>
      <c r="E53" s="4">
        <f t="shared" si="8"/>
        <v>4010.8950000000004</v>
      </c>
      <c r="F53" s="4">
        <f t="shared" si="9"/>
        <v>5977.755000000001</v>
      </c>
      <c r="G53" s="4">
        <f t="shared" si="2"/>
        <v>17298990.135000002</v>
      </c>
      <c r="H53" s="4">
        <f t="shared" si="5"/>
        <v>7842814.5600000015</v>
      </c>
      <c r="I53" s="4">
        <f t="shared" si="3"/>
        <v>25141804.695000004</v>
      </c>
      <c r="J53" s="4">
        <v>32000000</v>
      </c>
      <c r="K53" s="4">
        <v>0</v>
      </c>
      <c r="L53" s="8">
        <f t="shared" si="4"/>
        <v>-6858195.304999996</v>
      </c>
      <c r="M53" s="4">
        <v>-541501695</v>
      </c>
    </row>
    <row r="54" spans="1:13" s="1" customFormat="1" ht="15" x14ac:dyDescent="0.25">
      <c r="A54" s="4">
        <v>34</v>
      </c>
      <c r="B54" s="4">
        <v>115</v>
      </c>
      <c r="C54" s="4">
        <f t="shared" si="6"/>
        <v>4849</v>
      </c>
      <c r="D54" s="4">
        <f t="shared" si="7"/>
        <v>1312</v>
      </c>
      <c r="E54" s="4">
        <f t="shared" si="8"/>
        <v>4010.8950000000004</v>
      </c>
      <c r="F54" s="4">
        <f t="shared" si="9"/>
        <v>5977.755000000001</v>
      </c>
      <c r="G54" s="4">
        <f t="shared" si="2"/>
        <v>19448829.855</v>
      </c>
      <c r="H54" s="4">
        <f t="shared" si="5"/>
        <v>7842814.5600000015</v>
      </c>
      <c r="I54" s="4">
        <f t="shared" si="3"/>
        <v>27291644.415000003</v>
      </c>
      <c r="J54" s="4">
        <v>32000000</v>
      </c>
      <c r="K54" s="4">
        <v>0</v>
      </c>
      <c r="L54" s="8">
        <f t="shared" si="4"/>
        <v>-4708355.5849999972</v>
      </c>
      <c r="M54" s="4">
        <v>-543128772</v>
      </c>
    </row>
    <row r="55" spans="1:13" s="1" customFormat="1" ht="15" x14ac:dyDescent="0.25">
      <c r="A55" s="4">
        <v>35</v>
      </c>
      <c r="B55" s="4">
        <v>118</v>
      </c>
      <c r="C55" s="4">
        <f t="shared" si="6"/>
        <v>5010</v>
      </c>
      <c r="D55" s="4">
        <f t="shared" si="7"/>
        <v>1312</v>
      </c>
      <c r="E55" s="4">
        <f t="shared" si="8"/>
        <v>4010.8950000000004</v>
      </c>
      <c r="F55" s="4">
        <f t="shared" si="9"/>
        <v>5977.755000000001</v>
      </c>
      <c r="G55" s="4">
        <f t="shared" si="2"/>
        <v>20094583.950000003</v>
      </c>
      <c r="H55" s="4">
        <f t="shared" si="5"/>
        <v>7842814.5600000015</v>
      </c>
      <c r="I55" s="4">
        <f t="shared" si="3"/>
        <v>27937398.510000005</v>
      </c>
      <c r="J55" s="4">
        <v>32000000</v>
      </c>
      <c r="K55" s="4">
        <v>0</v>
      </c>
      <c r="L55" s="8">
        <f t="shared" si="4"/>
        <v>-4062601.4899999946</v>
      </c>
      <c r="M55" s="4">
        <v>-544005792</v>
      </c>
    </row>
    <row r="56" spans="1:13" s="1" customFormat="1" ht="15" x14ac:dyDescent="0.25">
      <c r="A56" s="4">
        <v>36</v>
      </c>
      <c r="B56" s="4">
        <v>120</v>
      </c>
      <c r="C56" s="4">
        <f t="shared" si="6"/>
        <v>5118</v>
      </c>
      <c r="D56" s="4">
        <f t="shared" si="7"/>
        <v>1312</v>
      </c>
      <c r="E56" s="4">
        <f t="shared" si="8"/>
        <v>4010.8950000000004</v>
      </c>
      <c r="F56" s="4">
        <f t="shared" si="9"/>
        <v>5977.755000000001</v>
      </c>
      <c r="G56" s="4">
        <f t="shared" si="2"/>
        <v>20527760.610000003</v>
      </c>
      <c r="H56" s="4">
        <f t="shared" si="5"/>
        <v>7842814.5600000015</v>
      </c>
      <c r="I56" s="4">
        <f t="shared" si="3"/>
        <v>28370575.170000006</v>
      </c>
      <c r="J56" s="4">
        <v>32000000</v>
      </c>
      <c r="K56" s="4">
        <v>0</v>
      </c>
      <c r="L56" s="8">
        <f t="shared" si="4"/>
        <v>-3629424.8299999945</v>
      </c>
      <c r="M56" s="4">
        <v>-544385448</v>
      </c>
    </row>
    <row r="57" spans="1:13" s="1" customFormat="1" ht="15" x14ac:dyDescent="0.25">
      <c r="A57" s="4">
        <v>37</v>
      </c>
      <c r="B57" s="4">
        <v>128</v>
      </c>
      <c r="C57" s="4">
        <f t="shared" si="6"/>
        <v>5269</v>
      </c>
      <c r="D57" s="4">
        <f t="shared" si="7"/>
        <v>1181</v>
      </c>
      <c r="E57" s="4">
        <f t="shared" si="8"/>
        <v>4211.4397500000005</v>
      </c>
      <c r="F57" s="4">
        <f t="shared" si="9"/>
        <v>6276.6427500000009</v>
      </c>
      <c r="G57" s="4">
        <f t="shared" si="2"/>
        <v>22190076.042750001</v>
      </c>
      <c r="H57" s="4">
        <f t="shared" si="5"/>
        <v>7412715.0877500009</v>
      </c>
      <c r="I57" s="4">
        <f t="shared" si="3"/>
        <v>29602791.130500004</v>
      </c>
      <c r="J57" s="4">
        <v>32000000</v>
      </c>
      <c r="K57" s="4">
        <v>0</v>
      </c>
      <c r="L57" s="8">
        <f t="shared" si="4"/>
        <v>-2397208.8694999963</v>
      </c>
      <c r="M57" s="4">
        <v>-541480587</v>
      </c>
    </row>
    <row r="58" spans="1:13" s="1" customFormat="1" ht="15" x14ac:dyDescent="0.25">
      <c r="A58" s="4">
        <v>38</v>
      </c>
      <c r="B58" s="4">
        <v>134</v>
      </c>
      <c r="C58" s="4">
        <f t="shared" si="6"/>
        <v>5575</v>
      </c>
      <c r="D58" s="4">
        <f t="shared" si="7"/>
        <v>1181</v>
      </c>
      <c r="E58" s="4">
        <f t="shared" si="8"/>
        <v>4211.4397500000005</v>
      </c>
      <c r="F58" s="4">
        <f t="shared" si="9"/>
        <v>6276.6427500000009</v>
      </c>
      <c r="G58" s="4">
        <f t="shared" si="2"/>
        <v>23478776.606250003</v>
      </c>
      <c r="H58" s="4">
        <f t="shared" si="5"/>
        <v>7412715.0877500009</v>
      </c>
      <c r="I58" s="4">
        <f t="shared" si="3"/>
        <v>30891491.694000006</v>
      </c>
      <c r="J58" s="4">
        <v>32000000</v>
      </c>
      <c r="K58" s="4">
        <v>0</v>
      </c>
      <c r="L58" s="8">
        <f t="shared" si="4"/>
        <v>-1108508.3059999943</v>
      </c>
      <c r="M58" s="4">
        <v>-538297734</v>
      </c>
    </row>
    <row r="59" spans="1:13" s="1" customFormat="1" ht="15" x14ac:dyDescent="0.25">
      <c r="A59" s="4">
        <v>39</v>
      </c>
      <c r="B59" s="4">
        <v>148</v>
      </c>
      <c r="C59" s="4">
        <f t="shared" si="6"/>
        <v>6288</v>
      </c>
      <c r="D59" s="4">
        <f t="shared" si="7"/>
        <v>1181</v>
      </c>
      <c r="E59" s="4">
        <f t="shared" si="8"/>
        <v>4211.4397500000005</v>
      </c>
      <c r="F59" s="4">
        <f t="shared" si="9"/>
        <v>6276.6427500000009</v>
      </c>
      <c r="G59" s="4">
        <f t="shared" si="2"/>
        <v>26481533.148000002</v>
      </c>
      <c r="H59" s="4">
        <f t="shared" si="5"/>
        <v>7412715.0877500009</v>
      </c>
      <c r="I59" s="4">
        <f t="shared" si="3"/>
        <v>33894248.235750005</v>
      </c>
      <c r="J59" s="4">
        <v>32000000</v>
      </c>
      <c r="K59" s="4">
        <v>0</v>
      </c>
      <c r="L59" s="8">
        <f t="shared" si="4"/>
        <v>1894248.2357500046</v>
      </c>
      <c r="M59" s="4">
        <v>-531559953</v>
      </c>
    </row>
    <row r="60" spans="1:13" s="1" customFormat="1" ht="15" x14ac:dyDescent="0.25">
      <c r="A60" s="4">
        <v>40</v>
      </c>
      <c r="B60" s="4">
        <v>132</v>
      </c>
      <c r="C60" s="4">
        <f t="shared" si="6"/>
        <v>5473</v>
      </c>
      <c r="D60" s="4">
        <f t="shared" si="7"/>
        <v>1181</v>
      </c>
      <c r="E60" s="4">
        <f t="shared" si="8"/>
        <v>4211.4397500000005</v>
      </c>
      <c r="F60" s="4">
        <f t="shared" si="9"/>
        <v>6276.6427500000009</v>
      </c>
      <c r="G60" s="4">
        <f t="shared" si="2"/>
        <v>23049209.751750004</v>
      </c>
      <c r="H60" s="4">
        <f t="shared" si="5"/>
        <v>7412715.0877500009</v>
      </c>
      <c r="I60" s="4">
        <f t="shared" si="3"/>
        <v>30461924.839500003</v>
      </c>
      <c r="J60" s="4">
        <v>32000000</v>
      </c>
      <c r="K60" s="4">
        <v>0</v>
      </c>
      <c r="L60" s="8">
        <f t="shared" si="4"/>
        <v>-1538075.1604999974</v>
      </c>
      <c r="M60" s="4">
        <v>-528882540</v>
      </c>
    </row>
    <row r="61" spans="1:13" s="1" customFormat="1" ht="15" x14ac:dyDescent="0.25">
      <c r="A61" s="4">
        <v>41</v>
      </c>
      <c r="B61" s="4">
        <v>118</v>
      </c>
      <c r="C61" s="4">
        <f t="shared" si="6"/>
        <v>4760</v>
      </c>
      <c r="D61" s="4">
        <f t="shared" si="7"/>
        <v>1181</v>
      </c>
      <c r="E61" s="4">
        <f t="shared" si="8"/>
        <v>4211.4397500000005</v>
      </c>
      <c r="F61" s="4">
        <f t="shared" si="9"/>
        <v>6276.6427500000009</v>
      </c>
      <c r="G61" s="4">
        <f t="shared" si="2"/>
        <v>20046453.210000001</v>
      </c>
      <c r="H61" s="4">
        <f t="shared" si="5"/>
        <v>7412715.0877500009</v>
      </c>
      <c r="I61" s="4">
        <f t="shared" si="3"/>
        <v>27459168.297750004</v>
      </c>
      <c r="J61" s="4">
        <v>32000000</v>
      </c>
      <c r="K61" s="4">
        <v>0</v>
      </c>
      <c r="L61" s="8">
        <f t="shared" si="4"/>
        <v>-4540831.7022499964</v>
      </c>
      <c r="M61" s="4">
        <v>-529755843</v>
      </c>
    </row>
    <row r="62" spans="1:13" s="1" customFormat="1" ht="15" x14ac:dyDescent="0.25">
      <c r="A62" s="4">
        <v>42</v>
      </c>
      <c r="B62" s="4">
        <v>107</v>
      </c>
      <c r="C62" s="4">
        <f t="shared" si="6"/>
        <v>4199</v>
      </c>
      <c r="D62" s="4">
        <f t="shared" si="7"/>
        <v>1181</v>
      </c>
      <c r="E62" s="4">
        <f t="shared" si="8"/>
        <v>4211.4397500000005</v>
      </c>
      <c r="F62" s="4">
        <f t="shared" si="9"/>
        <v>6276.6427500000009</v>
      </c>
      <c r="G62" s="4">
        <f t="shared" si="2"/>
        <v>17683835.510250002</v>
      </c>
      <c r="H62" s="4">
        <f t="shared" si="5"/>
        <v>7412715.0877500009</v>
      </c>
      <c r="I62" s="4">
        <f t="shared" si="3"/>
        <v>25096550.598000005</v>
      </c>
      <c r="J62" s="4">
        <v>32000000</v>
      </c>
      <c r="K62" s="4">
        <v>0</v>
      </c>
      <c r="L62" s="8">
        <f t="shared" si="4"/>
        <v>-6903449.4019999951</v>
      </c>
      <c r="M62" s="4">
        <v>-533421702</v>
      </c>
    </row>
    <row r="63" spans="1:13" s="1" customFormat="1" ht="15" x14ac:dyDescent="0.25">
      <c r="A63" s="4">
        <v>43</v>
      </c>
      <c r="B63" s="4">
        <v>107</v>
      </c>
      <c r="C63" s="4">
        <f t="shared" si="6"/>
        <v>4199</v>
      </c>
      <c r="D63" s="4">
        <f t="shared" si="7"/>
        <v>1181</v>
      </c>
      <c r="E63" s="4">
        <f t="shared" si="8"/>
        <v>4211.4397500000005</v>
      </c>
      <c r="F63" s="4">
        <f t="shared" si="9"/>
        <v>6276.6427500000009</v>
      </c>
      <c r="G63" s="4">
        <f t="shared" si="2"/>
        <v>17683835.510250002</v>
      </c>
      <c r="H63" s="4">
        <f t="shared" si="5"/>
        <v>7412715.0877500009</v>
      </c>
      <c r="I63" s="4">
        <f t="shared" si="3"/>
        <v>25096550.598000005</v>
      </c>
      <c r="J63" s="4">
        <v>32000000</v>
      </c>
      <c r="K63" s="4">
        <v>0</v>
      </c>
      <c r="L63" s="8">
        <f t="shared" si="4"/>
        <v>-6903449.4019999951</v>
      </c>
      <c r="M63" s="4">
        <v>-537087561</v>
      </c>
    </row>
    <row r="64" spans="1:13" s="1" customFormat="1" ht="15" x14ac:dyDescent="0.25">
      <c r="A64" s="4">
        <v>44</v>
      </c>
      <c r="B64" s="4">
        <v>114</v>
      </c>
      <c r="C64" s="4">
        <f t="shared" si="6"/>
        <v>4556</v>
      </c>
      <c r="D64" s="4">
        <f t="shared" si="7"/>
        <v>1181</v>
      </c>
      <c r="E64" s="4">
        <f t="shared" si="8"/>
        <v>4211.4397500000005</v>
      </c>
      <c r="F64" s="4">
        <f t="shared" si="9"/>
        <v>6276.6427500000009</v>
      </c>
      <c r="G64" s="4">
        <f t="shared" si="2"/>
        <v>19187319.501000002</v>
      </c>
      <c r="H64" s="4">
        <f t="shared" si="5"/>
        <v>7412715.0877500009</v>
      </c>
      <c r="I64" s="4">
        <f t="shared" si="3"/>
        <v>26600034.588750005</v>
      </c>
      <c r="J64" s="4">
        <v>32000000</v>
      </c>
      <c r="K64" s="4">
        <v>0</v>
      </c>
      <c r="L64" s="8">
        <f t="shared" si="4"/>
        <v>-5399965.4112499952</v>
      </c>
      <c r="M64" s="4">
        <v>-538980168</v>
      </c>
    </row>
    <row r="65" spans="1:13" s="1" customFormat="1" ht="15" x14ac:dyDescent="0.25">
      <c r="A65" s="4">
        <v>45</v>
      </c>
      <c r="B65" s="4">
        <v>105</v>
      </c>
      <c r="C65" s="4">
        <f t="shared" si="6"/>
        <v>4097</v>
      </c>
      <c r="D65" s="4">
        <f t="shared" si="7"/>
        <v>1181</v>
      </c>
      <c r="E65" s="4">
        <f t="shared" si="8"/>
        <v>4211.4397500000005</v>
      </c>
      <c r="F65" s="4">
        <f t="shared" si="9"/>
        <v>6276.6427500000009</v>
      </c>
      <c r="G65" s="4">
        <f t="shared" si="2"/>
        <v>17254268.655750003</v>
      </c>
      <c r="H65" s="4">
        <f t="shared" si="5"/>
        <v>7412715.0877500009</v>
      </c>
      <c r="I65" s="4">
        <f t="shared" si="3"/>
        <v>24666983.743500002</v>
      </c>
      <c r="J65" s="4">
        <v>32000000</v>
      </c>
      <c r="K65" s="4">
        <v>0</v>
      </c>
      <c r="L65" s="8">
        <f t="shared" si="4"/>
        <v>-7333016.2564999983</v>
      </c>
      <c r="M65" s="4">
        <v>-543155679</v>
      </c>
    </row>
    <row r="66" spans="1:13" s="1" customFormat="1" ht="15" x14ac:dyDescent="0.25">
      <c r="A66" s="4">
        <v>46</v>
      </c>
      <c r="B66" s="4">
        <v>115</v>
      </c>
      <c r="C66" s="4">
        <f t="shared" si="6"/>
        <v>4607</v>
      </c>
      <c r="D66" s="4">
        <f t="shared" si="7"/>
        <v>1181</v>
      </c>
      <c r="E66" s="4">
        <f t="shared" si="8"/>
        <v>4211.4397500000005</v>
      </c>
      <c r="F66" s="4">
        <f t="shared" si="9"/>
        <v>6276.6427500000009</v>
      </c>
      <c r="G66" s="4">
        <f t="shared" si="2"/>
        <v>19402102.928250004</v>
      </c>
      <c r="H66" s="4">
        <f t="shared" si="5"/>
        <v>7412715.0877500009</v>
      </c>
      <c r="I66" s="4">
        <f t="shared" si="3"/>
        <v>26814818.016000003</v>
      </c>
      <c r="J66" s="4">
        <v>32000000</v>
      </c>
      <c r="K66" s="4">
        <v>0</v>
      </c>
      <c r="L66" s="8">
        <f t="shared" si="4"/>
        <v>-5185181.9839999974</v>
      </c>
      <c r="M66" s="4">
        <v>-544795566</v>
      </c>
    </row>
    <row r="67" spans="1:13" s="1" customFormat="1" ht="15" x14ac:dyDescent="0.25">
      <c r="A67" s="4">
        <v>47</v>
      </c>
      <c r="B67" s="4">
        <v>118</v>
      </c>
      <c r="C67" s="4">
        <f t="shared" si="6"/>
        <v>4760</v>
      </c>
      <c r="D67" s="4">
        <f t="shared" si="7"/>
        <v>1181</v>
      </c>
      <c r="E67" s="4">
        <f t="shared" si="8"/>
        <v>4211.4397500000005</v>
      </c>
      <c r="F67" s="4">
        <f t="shared" si="9"/>
        <v>6276.6427500000009</v>
      </c>
      <c r="G67" s="4">
        <f t="shared" si="2"/>
        <v>20046453.210000001</v>
      </c>
      <c r="H67" s="4">
        <f t="shared" si="5"/>
        <v>7412715.0877500009</v>
      </c>
      <c r="I67" s="4">
        <f t="shared" si="3"/>
        <v>27459168.297750004</v>
      </c>
      <c r="J67" s="4">
        <v>32000000</v>
      </c>
      <c r="K67" s="4">
        <v>0</v>
      </c>
      <c r="L67" s="8">
        <f t="shared" si="4"/>
        <v>-4540831.7022499964</v>
      </c>
      <c r="M67" s="4">
        <v>-545668869</v>
      </c>
    </row>
    <row r="68" spans="1:13" s="1" customFormat="1" ht="15" x14ac:dyDescent="0.25">
      <c r="A68" s="4">
        <v>48</v>
      </c>
      <c r="B68" s="4">
        <v>120</v>
      </c>
      <c r="C68" s="4">
        <f t="shared" si="6"/>
        <v>4862</v>
      </c>
      <c r="D68" s="4">
        <f t="shared" si="7"/>
        <v>1181</v>
      </c>
      <c r="E68" s="4">
        <f t="shared" si="8"/>
        <v>4211.4397500000005</v>
      </c>
      <c r="F68" s="4">
        <f t="shared" si="9"/>
        <v>6276.6427500000009</v>
      </c>
      <c r="G68" s="4">
        <f t="shared" si="2"/>
        <v>20476020.064500004</v>
      </c>
      <c r="H68" s="4">
        <f t="shared" si="5"/>
        <v>7412715.0877500009</v>
      </c>
      <c r="I68" s="4">
        <f t="shared" si="3"/>
        <v>27888735.152250007</v>
      </c>
      <c r="J68" s="4">
        <v>32000000</v>
      </c>
      <c r="K68" s="4">
        <v>0</v>
      </c>
      <c r="L68" s="8">
        <f t="shared" si="4"/>
        <v>-4111264.8477499932</v>
      </c>
      <c r="M68" s="4">
        <v>-546036732</v>
      </c>
    </row>
    <row r="69" spans="1:13" ht="15" x14ac:dyDescent="0.25">
      <c r="A69" s="5">
        <v>49</v>
      </c>
      <c r="B69" s="5">
        <v>128</v>
      </c>
      <c r="C69" s="4">
        <f t="shared" si="6"/>
        <v>5006</v>
      </c>
      <c r="D69" s="9">
        <f t="shared" si="7"/>
        <v>1063</v>
      </c>
      <c r="E69" s="9">
        <f t="shared" si="8"/>
        <v>4422.0117375000009</v>
      </c>
      <c r="F69" s="9">
        <f t="shared" si="9"/>
        <v>6590.4748875000014</v>
      </c>
      <c r="G69" s="9">
        <f t="shared" si="2"/>
        <v>22136590.757925004</v>
      </c>
      <c r="H69" s="9">
        <f t="shared" si="5"/>
        <v>7005674.8054125011</v>
      </c>
      <c r="I69" s="9">
        <f t="shared" si="3"/>
        <v>29142265.563337505</v>
      </c>
      <c r="J69" s="5">
        <v>0</v>
      </c>
      <c r="K69" s="9">
        <v>0</v>
      </c>
      <c r="L69" s="10">
        <f t="shared" si="4"/>
        <v>29142265.563337505</v>
      </c>
      <c r="M69" s="5">
        <v>-511028486</v>
      </c>
    </row>
    <row r="70" spans="1:13" ht="15" x14ac:dyDescent="0.25">
      <c r="A70" s="4">
        <v>50</v>
      </c>
      <c r="B70" s="4">
        <v>134</v>
      </c>
      <c r="C70" s="4">
        <f t="shared" si="6"/>
        <v>5296</v>
      </c>
      <c r="D70" s="4">
        <f t="shared" si="7"/>
        <v>1063</v>
      </c>
      <c r="E70" s="4">
        <f t="shared" si="8"/>
        <v>4422.0117375000009</v>
      </c>
      <c r="F70" s="4">
        <f t="shared" si="9"/>
        <v>6590.4748875000014</v>
      </c>
      <c r="G70" s="4">
        <f t="shared" si="2"/>
        <v>23418974.161800005</v>
      </c>
      <c r="H70" s="4">
        <f t="shared" si="5"/>
        <v>7005674.8054125011</v>
      </c>
      <c r="I70" s="4">
        <f t="shared" si="3"/>
        <v>30424648.967212506</v>
      </c>
      <c r="J70" s="7">
        <v>0</v>
      </c>
      <c r="K70" s="4">
        <v>0</v>
      </c>
      <c r="L70" s="8">
        <f t="shared" si="4"/>
        <v>30424648.967212506</v>
      </c>
      <c r="M70" s="4">
        <v>-475737168</v>
      </c>
    </row>
    <row r="71" spans="1:13" ht="15" x14ac:dyDescent="0.25">
      <c r="A71" s="4">
        <v>51</v>
      </c>
      <c r="B71" s="4">
        <v>148</v>
      </c>
      <c r="C71" s="4">
        <f t="shared" si="6"/>
        <v>5974</v>
      </c>
      <c r="D71" s="4">
        <f t="shared" si="7"/>
        <v>1063</v>
      </c>
      <c r="E71" s="4">
        <f t="shared" si="8"/>
        <v>4422.0117375000009</v>
      </c>
      <c r="F71" s="4">
        <f t="shared" si="9"/>
        <v>6590.4748875000014</v>
      </c>
      <c r="G71" s="4">
        <f t="shared" si="2"/>
        <v>26417098.119825006</v>
      </c>
      <c r="H71" s="4">
        <f t="shared" si="5"/>
        <v>7005674.8054125011</v>
      </c>
      <c r="I71" s="4">
        <f t="shared" si="3"/>
        <v>33422772.925237507</v>
      </c>
      <c r="J71" s="7">
        <v>0</v>
      </c>
      <c r="K71" s="4">
        <v>0</v>
      </c>
      <c r="L71" s="8">
        <f t="shared" si="4"/>
        <v>33422772.925237507</v>
      </c>
      <c r="M71" s="4">
        <v>-436823413</v>
      </c>
    </row>
    <row r="72" spans="1:13" ht="15" x14ac:dyDescent="0.25">
      <c r="A72" s="4">
        <v>52</v>
      </c>
      <c r="B72" s="4">
        <v>132</v>
      </c>
      <c r="C72" s="4">
        <f t="shared" si="6"/>
        <v>5199</v>
      </c>
      <c r="D72" s="4">
        <f t="shared" si="7"/>
        <v>1063</v>
      </c>
      <c r="E72" s="4">
        <f t="shared" si="8"/>
        <v>4422.0117375000009</v>
      </c>
      <c r="F72" s="4">
        <f t="shared" si="9"/>
        <v>6590.4748875000014</v>
      </c>
      <c r="G72" s="4">
        <f t="shared" si="2"/>
        <v>22990039.023262504</v>
      </c>
      <c r="H72" s="4">
        <f t="shared" si="5"/>
        <v>7005674.8054125011</v>
      </c>
      <c r="I72" s="4">
        <f t="shared" si="3"/>
        <v>29995713.828675006</v>
      </c>
      <c r="J72" s="7">
        <v>0</v>
      </c>
      <c r="K72" s="4">
        <v>0</v>
      </c>
      <c r="L72" s="8">
        <f t="shared" si="4"/>
        <v>29995713.828675006</v>
      </c>
      <c r="M72" s="4">
        <v>-402045163</v>
      </c>
    </row>
    <row r="73" spans="1:13" ht="15" x14ac:dyDescent="0.25">
      <c r="A73" s="4">
        <v>53</v>
      </c>
      <c r="B73" s="4">
        <v>118</v>
      </c>
      <c r="C73" s="4">
        <f t="shared" si="6"/>
        <v>4522</v>
      </c>
      <c r="D73" s="4">
        <f t="shared" si="7"/>
        <v>1063</v>
      </c>
      <c r="E73" s="4">
        <f t="shared" si="8"/>
        <v>4422.0117375000009</v>
      </c>
      <c r="F73" s="4">
        <f t="shared" si="9"/>
        <v>6590.4748875000014</v>
      </c>
      <c r="G73" s="4">
        <f t="shared" si="2"/>
        <v>19996337.076975003</v>
      </c>
      <c r="H73" s="4">
        <f t="shared" si="5"/>
        <v>7005674.8054125011</v>
      </c>
      <c r="I73" s="4">
        <f t="shared" si="3"/>
        <v>27002011.882387504</v>
      </c>
      <c r="J73" s="7">
        <v>0</v>
      </c>
      <c r="K73" s="4">
        <v>0</v>
      </c>
      <c r="L73" s="8">
        <f t="shared" si="4"/>
        <v>27002011.882387504</v>
      </c>
      <c r="M73" s="4">
        <v>-370884927</v>
      </c>
    </row>
    <row r="74" spans="1:13" ht="15" x14ac:dyDescent="0.25">
      <c r="A74" s="4">
        <v>54</v>
      </c>
      <c r="B74" s="4">
        <v>107</v>
      </c>
      <c r="C74" s="4">
        <f t="shared" si="6"/>
        <v>3989</v>
      </c>
      <c r="D74" s="4">
        <f t="shared" si="7"/>
        <v>1063</v>
      </c>
      <c r="E74" s="4">
        <f t="shared" si="8"/>
        <v>4422.0117375000009</v>
      </c>
      <c r="F74" s="4">
        <f t="shared" si="9"/>
        <v>6590.4748875000014</v>
      </c>
      <c r="G74" s="4">
        <f t="shared" si="2"/>
        <v>17639404.820887502</v>
      </c>
      <c r="H74" s="4">
        <f t="shared" si="5"/>
        <v>7005674.8054125011</v>
      </c>
      <c r="I74" s="4">
        <f t="shared" si="3"/>
        <v>24645079.626300003</v>
      </c>
      <c r="J74" s="7">
        <v>0</v>
      </c>
      <c r="K74" s="4">
        <v>0</v>
      </c>
      <c r="L74" s="8">
        <f t="shared" si="4"/>
        <v>24645079.626300003</v>
      </c>
      <c r="M74" s="4">
        <v>-342568680</v>
      </c>
    </row>
    <row r="75" spans="1:13" ht="15" x14ac:dyDescent="0.25">
      <c r="A75" s="4">
        <v>55</v>
      </c>
      <c r="B75" s="4">
        <v>107</v>
      </c>
      <c r="C75" s="4">
        <f t="shared" si="6"/>
        <v>3989</v>
      </c>
      <c r="D75" s="4">
        <f t="shared" si="7"/>
        <v>1063</v>
      </c>
      <c r="E75" s="4">
        <f t="shared" si="8"/>
        <v>4422.0117375000009</v>
      </c>
      <c r="F75" s="4">
        <f t="shared" si="9"/>
        <v>6590.4748875000014</v>
      </c>
      <c r="G75" s="4">
        <f t="shared" si="2"/>
        <v>17639404.820887502</v>
      </c>
      <c r="H75" s="4">
        <f t="shared" si="5"/>
        <v>7005674.8054125011</v>
      </c>
      <c r="I75" s="4">
        <f t="shared" si="3"/>
        <v>24645079.626300003</v>
      </c>
      <c r="J75" s="7">
        <v>0</v>
      </c>
      <c r="K75" s="4">
        <v>0</v>
      </c>
      <c r="L75" s="8">
        <f t="shared" si="4"/>
        <v>24645079.626300003</v>
      </c>
      <c r="M75" s="4">
        <v>-314252433</v>
      </c>
    </row>
    <row r="76" spans="1:13" ht="15" x14ac:dyDescent="0.25">
      <c r="A76" s="4">
        <v>56</v>
      </c>
      <c r="B76" s="4">
        <v>114</v>
      </c>
      <c r="C76" s="4">
        <f t="shared" si="6"/>
        <v>4328</v>
      </c>
      <c r="D76" s="4">
        <f t="shared" si="7"/>
        <v>1063</v>
      </c>
      <c r="E76" s="4">
        <f t="shared" si="8"/>
        <v>4422.0117375000009</v>
      </c>
      <c r="F76" s="4">
        <f t="shared" si="9"/>
        <v>6590.4748875000014</v>
      </c>
      <c r="G76" s="4">
        <f t="shared" si="2"/>
        <v>19138466.799900003</v>
      </c>
      <c r="H76" s="4">
        <f t="shared" si="5"/>
        <v>7005674.8054125011</v>
      </c>
      <c r="I76" s="4">
        <f t="shared" si="3"/>
        <v>26144141.605312504</v>
      </c>
      <c r="J76" s="7">
        <v>0</v>
      </c>
      <c r="K76" s="4">
        <v>0</v>
      </c>
      <c r="L76" s="8">
        <f t="shared" si="4"/>
        <v>26144141.605312504</v>
      </c>
      <c r="M76" s="4">
        <v>-284131602</v>
      </c>
    </row>
    <row r="77" spans="1:13" ht="15" x14ac:dyDescent="0.25">
      <c r="A77" s="4">
        <v>57</v>
      </c>
      <c r="B77" s="4">
        <v>105</v>
      </c>
      <c r="C77" s="4">
        <f t="shared" si="6"/>
        <v>3892</v>
      </c>
      <c r="D77" s="4">
        <f t="shared" si="7"/>
        <v>1063</v>
      </c>
      <c r="E77" s="4">
        <f t="shared" si="8"/>
        <v>4422.0117375000009</v>
      </c>
      <c r="F77" s="4">
        <f t="shared" si="9"/>
        <v>6590.4748875000014</v>
      </c>
      <c r="G77" s="4">
        <f t="shared" si="2"/>
        <v>17210469.682350002</v>
      </c>
      <c r="H77" s="4">
        <f t="shared" si="5"/>
        <v>7005674.8054125011</v>
      </c>
      <c r="I77" s="4">
        <f t="shared" si="3"/>
        <v>24216144.487762503</v>
      </c>
      <c r="J77" s="7">
        <v>0</v>
      </c>
      <c r="K77" s="4">
        <v>0</v>
      </c>
      <c r="L77" s="8">
        <f t="shared" si="4"/>
        <v>24216144.487762503</v>
      </c>
      <c r="M77" s="4">
        <v>-256332846</v>
      </c>
    </row>
    <row r="78" spans="1:13" ht="15" x14ac:dyDescent="0.25">
      <c r="A78" s="4">
        <v>58</v>
      </c>
      <c r="B78" s="4">
        <v>115</v>
      </c>
      <c r="C78" s="4">
        <f t="shared" si="6"/>
        <v>4377</v>
      </c>
      <c r="D78" s="4">
        <f t="shared" si="7"/>
        <v>1063</v>
      </c>
      <c r="E78" s="4">
        <f t="shared" si="8"/>
        <v>4422.0117375000009</v>
      </c>
      <c r="F78" s="4">
        <f t="shared" si="9"/>
        <v>6590.4748875000014</v>
      </c>
      <c r="G78" s="4">
        <f t="shared" si="2"/>
        <v>19355145.375037502</v>
      </c>
      <c r="H78" s="4">
        <f t="shared" si="5"/>
        <v>7005674.8054125011</v>
      </c>
      <c r="I78" s="4">
        <f t="shared" si="3"/>
        <v>26360820.180450004</v>
      </c>
      <c r="J78" s="7">
        <v>0</v>
      </c>
      <c r="K78" s="4">
        <v>0</v>
      </c>
      <c r="L78" s="8">
        <f t="shared" si="4"/>
        <v>26360820.180450004</v>
      </c>
      <c r="M78" s="4">
        <v>-225951058</v>
      </c>
    </row>
    <row r="79" spans="1:13" ht="15" x14ac:dyDescent="0.25">
      <c r="A79" s="4">
        <v>59</v>
      </c>
      <c r="B79" s="4">
        <v>118</v>
      </c>
      <c r="C79" s="4">
        <f t="shared" si="6"/>
        <v>4522</v>
      </c>
      <c r="D79" s="4">
        <f t="shared" si="7"/>
        <v>1063</v>
      </c>
      <c r="E79" s="4">
        <f t="shared" si="8"/>
        <v>4422.0117375000009</v>
      </c>
      <c r="F79" s="4">
        <f t="shared" si="9"/>
        <v>6590.4748875000014</v>
      </c>
      <c r="G79" s="4">
        <f t="shared" si="2"/>
        <v>19996337.076975003</v>
      </c>
      <c r="H79" s="4">
        <f t="shared" si="5"/>
        <v>7005674.8054125011</v>
      </c>
      <c r="I79" s="4">
        <f t="shared" si="3"/>
        <v>27002011.882387504</v>
      </c>
      <c r="J79" s="7">
        <v>0</v>
      </c>
      <c r="K79" s="4">
        <v>0</v>
      </c>
      <c r="L79" s="8">
        <f t="shared" si="4"/>
        <v>27002011.882387504</v>
      </c>
      <c r="M79" s="4">
        <v>-194790822</v>
      </c>
    </row>
    <row r="80" spans="1:13" ht="15" x14ac:dyDescent="0.25">
      <c r="A80" s="4">
        <v>60</v>
      </c>
      <c r="B80" s="4">
        <v>120</v>
      </c>
      <c r="C80" s="4">
        <f t="shared" si="6"/>
        <v>4619</v>
      </c>
      <c r="D80" s="4">
        <f t="shared" si="7"/>
        <v>1063</v>
      </c>
      <c r="E80" s="4">
        <f t="shared" si="8"/>
        <v>4422.0117375000009</v>
      </c>
      <c r="F80" s="4">
        <f t="shared" si="9"/>
        <v>6590.4748875000014</v>
      </c>
      <c r="G80" s="4">
        <f t="shared" si="2"/>
        <v>20425272.215512503</v>
      </c>
      <c r="H80" s="4">
        <f t="shared" si="5"/>
        <v>7005674.8054125011</v>
      </c>
      <c r="I80" s="4">
        <f t="shared" si="3"/>
        <v>27430947.020925004</v>
      </c>
      <c r="J80" s="7">
        <v>0</v>
      </c>
      <c r="K80" s="4">
        <v>0</v>
      </c>
      <c r="L80" s="8">
        <f t="shared" si="4"/>
        <v>27430947.020925004</v>
      </c>
      <c r="M80" s="4">
        <v>-163113095</v>
      </c>
    </row>
    <row r="81" spans="1:13" ht="15" x14ac:dyDescent="0.25">
      <c r="A81" s="4">
        <v>61</v>
      </c>
      <c r="B81" s="4">
        <v>128</v>
      </c>
      <c r="C81" s="4">
        <f t="shared" si="6"/>
        <v>4756</v>
      </c>
      <c r="D81" s="4">
        <f t="shared" si="7"/>
        <v>957</v>
      </c>
      <c r="E81" s="4">
        <f t="shared" si="8"/>
        <v>4643.1123243750008</v>
      </c>
      <c r="F81" s="4">
        <f t="shared" si="9"/>
        <v>6919.9986318750016</v>
      </c>
      <c r="G81" s="4">
        <f t="shared" si="2"/>
        <v>22082642.214727502</v>
      </c>
      <c r="H81" s="4">
        <f t="shared" si="5"/>
        <v>6622438.6907043764</v>
      </c>
      <c r="I81" s="4">
        <f t="shared" si="3"/>
        <v>28705080.905431878</v>
      </c>
      <c r="J81" s="7">
        <v>0</v>
      </c>
      <c r="K81" s="4">
        <v>0</v>
      </c>
      <c r="L81" s="8">
        <f t="shared" si="4"/>
        <v>28705080.905431878</v>
      </c>
      <c r="M81" s="4">
        <v>-127970894</v>
      </c>
    </row>
    <row r="82" spans="1:13" ht="15" x14ac:dyDescent="0.25">
      <c r="A82" s="4">
        <v>62</v>
      </c>
      <c r="B82" s="4">
        <v>134</v>
      </c>
      <c r="C82" s="4">
        <f t="shared" si="6"/>
        <v>5031</v>
      </c>
      <c r="D82" s="4">
        <f t="shared" si="7"/>
        <v>957</v>
      </c>
      <c r="E82" s="4">
        <f t="shared" si="8"/>
        <v>4643.1123243750008</v>
      </c>
      <c r="F82" s="4">
        <f t="shared" si="9"/>
        <v>6919.9986318750016</v>
      </c>
      <c r="G82" s="4">
        <f t="shared" si="2"/>
        <v>23359498.10393063</v>
      </c>
      <c r="H82" s="4">
        <f t="shared" si="5"/>
        <v>6622438.6907043764</v>
      </c>
      <c r="I82" s="4">
        <f t="shared" si="3"/>
        <v>29981936.794635005</v>
      </c>
      <c r="J82" s="7">
        <v>0</v>
      </c>
      <c r="K82" s="4">
        <v>0</v>
      </c>
      <c r="L82" s="8">
        <f t="shared" si="4"/>
        <v>29981936.794635005</v>
      </c>
      <c r="M82" s="4">
        <v>-92540765</v>
      </c>
    </row>
    <row r="83" spans="1:13" ht="15" x14ac:dyDescent="0.25">
      <c r="A83" s="6">
        <v>63</v>
      </c>
      <c r="B83" s="6">
        <v>148</v>
      </c>
      <c r="C83" s="4">
        <f t="shared" si="6"/>
        <v>5675</v>
      </c>
      <c r="D83" s="4">
        <f t="shared" si="7"/>
        <v>957</v>
      </c>
      <c r="E83" s="4">
        <f t="shared" si="8"/>
        <v>4643.1123243750008</v>
      </c>
      <c r="F83" s="4">
        <f t="shared" si="9"/>
        <v>6919.9986318750016</v>
      </c>
      <c r="G83" s="4">
        <f t="shared" si="2"/>
        <v>26349662.44082813</v>
      </c>
      <c r="H83" s="4">
        <f t="shared" si="5"/>
        <v>6622438.6907043764</v>
      </c>
      <c r="I83" s="4">
        <f t="shared" si="3"/>
        <v>32972101.131532505</v>
      </c>
      <c r="J83" s="7">
        <v>0</v>
      </c>
      <c r="K83" s="4">
        <v>0</v>
      </c>
      <c r="L83" s="8">
        <f t="shared" si="4"/>
        <v>32972101.131532505</v>
      </c>
      <c r="M83" s="6">
        <v>-53418656</v>
      </c>
    </row>
    <row r="84" spans="1:13" ht="15" x14ac:dyDescent="0.25">
      <c r="A84" s="6">
        <v>64</v>
      </c>
      <c r="B84" s="6">
        <v>132</v>
      </c>
      <c r="C84" s="4">
        <f t="shared" si="6"/>
        <v>4939</v>
      </c>
      <c r="D84" s="4">
        <f t="shared" si="7"/>
        <v>957</v>
      </c>
      <c r="E84" s="4">
        <f t="shared" si="8"/>
        <v>4643.1123243750008</v>
      </c>
      <c r="F84" s="4">
        <f t="shared" si="9"/>
        <v>6919.9986318750016</v>
      </c>
      <c r="G84" s="4">
        <f t="shared" si="2"/>
        <v>22932331.770088129</v>
      </c>
      <c r="H84" s="4">
        <f t="shared" si="5"/>
        <v>6622438.6907043764</v>
      </c>
      <c r="I84" s="4">
        <f t="shared" si="3"/>
        <v>29554770.460792504</v>
      </c>
      <c r="J84" s="7">
        <v>0</v>
      </c>
      <c r="K84" s="4">
        <v>0</v>
      </c>
      <c r="L84" s="8">
        <f t="shared" si="4"/>
        <v>29554770.460792504</v>
      </c>
      <c r="M84" s="6">
        <v>-18508655</v>
      </c>
    </row>
    <row r="85" spans="1:13" ht="15" x14ac:dyDescent="0.25">
      <c r="A85" s="5">
        <v>65</v>
      </c>
      <c r="B85" s="5">
        <v>118</v>
      </c>
      <c r="C85" s="4">
        <f t="shared" si="6"/>
        <v>4296</v>
      </c>
      <c r="D85" s="9">
        <f t="shared" si="7"/>
        <v>957</v>
      </c>
      <c r="E85" s="9">
        <f t="shared" si="8"/>
        <v>4643.1123243750008</v>
      </c>
      <c r="F85" s="9">
        <f>F73*1.05</f>
        <v>6919.9986318750016</v>
      </c>
      <c r="G85" s="9">
        <f t="shared" si="2"/>
        <v>19946810.545515005</v>
      </c>
      <c r="H85" s="9">
        <f t="shared" si="5"/>
        <v>6622438.6907043764</v>
      </c>
      <c r="I85" s="9">
        <f t="shared" si="3"/>
        <v>26569249.23621938</v>
      </c>
      <c r="J85" s="5">
        <v>0</v>
      </c>
      <c r="K85" s="9">
        <v>0</v>
      </c>
      <c r="L85" s="10">
        <f t="shared" si="4"/>
        <v>26569249.23621938</v>
      </c>
      <c r="M85" s="5">
        <v>12714010</v>
      </c>
    </row>
    <row r="86" spans="1:13" ht="15" x14ac:dyDescent="0.25">
      <c r="A86" s="4">
        <v>66</v>
      </c>
      <c r="B86" s="4">
        <v>107</v>
      </c>
      <c r="C86" s="4">
        <f t="shared" si="6"/>
        <v>3790</v>
      </c>
      <c r="D86" s="4">
        <f t="shared" si="7"/>
        <v>957</v>
      </c>
      <c r="E86" s="4">
        <f t="shared" si="8"/>
        <v>4643.1123243750008</v>
      </c>
      <c r="F86" s="4">
        <f t="shared" si="9"/>
        <v>6919.9986318750016</v>
      </c>
      <c r="G86" s="4">
        <f t="shared" ref="G86:G116" si="10">C86*E86</f>
        <v>17597395.709381253</v>
      </c>
      <c r="H86" s="4">
        <f t="shared" si="5"/>
        <v>6622438.6907043764</v>
      </c>
      <c r="I86" s="4">
        <f t="shared" ref="I86:I116" si="11">G86+H86</f>
        <v>24219834.400085628</v>
      </c>
      <c r="J86" s="7">
        <v>0</v>
      </c>
      <c r="K86" s="4">
        <v>0</v>
      </c>
      <c r="L86" s="8">
        <f t="shared" ref="L86:L116" si="12">I86-J86-K86</f>
        <v>24219834.400085628</v>
      </c>
      <c r="M86" s="4">
        <v>41038819</v>
      </c>
    </row>
    <row r="87" spans="1:13" ht="15" x14ac:dyDescent="0.25">
      <c r="A87" s="4">
        <v>67</v>
      </c>
      <c r="B87" s="4">
        <v>107</v>
      </c>
      <c r="C87" s="4">
        <f t="shared" si="6"/>
        <v>3790</v>
      </c>
      <c r="D87" s="4">
        <f t="shared" si="7"/>
        <v>957</v>
      </c>
      <c r="E87" s="4">
        <f t="shared" si="8"/>
        <v>4643.1123243750008</v>
      </c>
      <c r="F87" s="4">
        <f t="shared" si="9"/>
        <v>6919.9986318750016</v>
      </c>
      <c r="G87" s="4">
        <f t="shared" si="10"/>
        <v>17597395.709381253</v>
      </c>
      <c r="H87" s="4">
        <f t="shared" si="5"/>
        <v>6622438.6907043764</v>
      </c>
      <c r="I87" s="4">
        <f t="shared" si="11"/>
        <v>24219834.400085628</v>
      </c>
      <c r="J87" s="7">
        <v>0</v>
      </c>
      <c r="K87" s="4">
        <v>0</v>
      </c>
      <c r="L87" s="8">
        <f t="shared" si="12"/>
        <v>24219834.400085628</v>
      </c>
      <c r="M87" s="4">
        <v>69363628</v>
      </c>
    </row>
    <row r="88" spans="1:13" ht="15" x14ac:dyDescent="0.25">
      <c r="A88" s="4">
        <v>68</v>
      </c>
      <c r="B88" s="4">
        <v>114</v>
      </c>
      <c r="C88" s="4">
        <f t="shared" si="6"/>
        <v>4112</v>
      </c>
      <c r="D88" s="4">
        <f t="shared" si="7"/>
        <v>957</v>
      </c>
      <c r="E88" s="4">
        <f t="shared" si="8"/>
        <v>4643.1123243750008</v>
      </c>
      <c r="F88" s="4">
        <f t="shared" si="9"/>
        <v>6919.9986318750016</v>
      </c>
      <c r="G88" s="4">
        <f t="shared" si="10"/>
        <v>19092477.877830002</v>
      </c>
      <c r="H88" s="4">
        <f t="shared" ref="H88:H116" si="13">D88*F88</f>
        <v>6622438.6907043764</v>
      </c>
      <c r="I88" s="4">
        <f t="shared" si="11"/>
        <v>25714916.568534378</v>
      </c>
      <c r="J88" s="7">
        <v>0</v>
      </c>
      <c r="K88" s="4">
        <v>0</v>
      </c>
      <c r="L88" s="8">
        <f t="shared" si="12"/>
        <v>25714916.568534378</v>
      </c>
      <c r="M88" s="4">
        <v>99527461</v>
      </c>
    </row>
    <row r="89" spans="1:13" ht="15" x14ac:dyDescent="0.25">
      <c r="A89" s="4">
        <v>69</v>
      </c>
      <c r="B89" s="4">
        <v>105</v>
      </c>
      <c r="C89" s="4">
        <f t="shared" si="6"/>
        <v>3697</v>
      </c>
      <c r="D89" s="4">
        <f t="shared" si="7"/>
        <v>957</v>
      </c>
      <c r="E89" s="4">
        <f t="shared" si="8"/>
        <v>4643.1123243750008</v>
      </c>
      <c r="F89" s="4">
        <f t="shared" si="9"/>
        <v>6919.9986318750016</v>
      </c>
      <c r="G89" s="4">
        <f t="shared" si="10"/>
        <v>17165586.26321438</v>
      </c>
      <c r="H89" s="4">
        <f t="shared" si="13"/>
        <v>6622438.6907043764</v>
      </c>
      <c r="I89" s="4">
        <f t="shared" si="11"/>
        <v>23788024.953918755</v>
      </c>
      <c r="J89" s="7">
        <v>0</v>
      </c>
      <c r="K89" s="4">
        <v>0</v>
      </c>
      <c r="L89" s="8">
        <f t="shared" si="12"/>
        <v>23788024.953918755</v>
      </c>
      <c r="M89" s="4">
        <v>127327498</v>
      </c>
    </row>
    <row r="90" spans="1:13" ht="15" x14ac:dyDescent="0.25">
      <c r="A90" s="4">
        <v>70</v>
      </c>
      <c r="B90" s="4">
        <v>115</v>
      </c>
      <c r="C90" s="4">
        <f t="shared" si="6"/>
        <v>4158</v>
      </c>
      <c r="D90" s="4">
        <f t="shared" si="7"/>
        <v>957</v>
      </c>
      <c r="E90" s="4">
        <f t="shared" si="8"/>
        <v>4643.1123243750008</v>
      </c>
      <c r="F90" s="4">
        <f t="shared" si="9"/>
        <v>6919.9986318750016</v>
      </c>
      <c r="G90" s="4">
        <f t="shared" si="10"/>
        <v>19306061.044751253</v>
      </c>
      <c r="H90" s="4">
        <f t="shared" si="13"/>
        <v>6622438.6907043764</v>
      </c>
      <c r="I90" s="4">
        <f t="shared" si="11"/>
        <v>25928499.735455628</v>
      </c>
      <c r="J90" s="7">
        <v>0</v>
      </c>
      <c r="K90" s="4">
        <v>0</v>
      </c>
      <c r="L90" s="8">
        <f t="shared" si="12"/>
        <v>25928499.735455628</v>
      </c>
      <c r="M90" s="4">
        <v>157756039</v>
      </c>
    </row>
    <row r="91" spans="1:13" ht="15" x14ac:dyDescent="0.25">
      <c r="A91" s="4">
        <v>71</v>
      </c>
      <c r="B91" s="4">
        <v>118</v>
      </c>
      <c r="C91" s="4">
        <f t="shared" si="6"/>
        <v>4296</v>
      </c>
      <c r="D91" s="4">
        <f t="shared" si="7"/>
        <v>957</v>
      </c>
      <c r="E91" s="4">
        <f t="shared" si="8"/>
        <v>4643.1123243750008</v>
      </c>
      <c r="F91" s="4">
        <f t="shared" si="9"/>
        <v>6919.9986318750016</v>
      </c>
      <c r="G91" s="4">
        <f t="shared" si="10"/>
        <v>19946810.545515005</v>
      </c>
      <c r="H91" s="4">
        <f t="shared" si="13"/>
        <v>6622438.6907043764</v>
      </c>
      <c r="I91" s="4">
        <f t="shared" si="11"/>
        <v>26569249.23621938</v>
      </c>
      <c r="J91" s="7">
        <v>0</v>
      </c>
      <c r="K91" s="4">
        <v>0</v>
      </c>
      <c r="L91" s="8">
        <f t="shared" si="12"/>
        <v>26569249.23621938</v>
      </c>
      <c r="M91" s="4">
        <v>188978704</v>
      </c>
    </row>
    <row r="92" spans="1:13" ht="15" x14ac:dyDescent="0.25">
      <c r="A92" s="4">
        <v>72</v>
      </c>
      <c r="B92" s="4">
        <v>120</v>
      </c>
      <c r="C92" s="4">
        <f t="shared" si="6"/>
        <v>4388</v>
      </c>
      <c r="D92" s="4">
        <f t="shared" si="7"/>
        <v>957</v>
      </c>
      <c r="E92" s="4">
        <f t="shared" si="8"/>
        <v>4643.1123243750008</v>
      </c>
      <c r="F92" s="4">
        <f t="shared" si="9"/>
        <v>6919.9986318750016</v>
      </c>
      <c r="G92" s="4">
        <f t="shared" si="10"/>
        <v>20373976.879357502</v>
      </c>
      <c r="H92" s="4">
        <f t="shared" si="13"/>
        <v>6622438.6907043764</v>
      </c>
      <c r="I92" s="4">
        <f t="shared" si="11"/>
        <v>26996415.570061877</v>
      </c>
      <c r="J92" s="7">
        <v>0</v>
      </c>
      <c r="K92" s="4">
        <v>0</v>
      </c>
      <c r="L92" s="8">
        <f t="shared" si="12"/>
        <v>26996415.570061877</v>
      </c>
      <c r="M92" s="4">
        <v>220730785</v>
      </c>
    </row>
    <row r="93" spans="1:13" ht="15" x14ac:dyDescent="0.25">
      <c r="A93" s="4">
        <v>73</v>
      </c>
      <c r="B93" s="4">
        <v>128</v>
      </c>
      <c r="C93" s="4">
        <f t="shared" si="6"/>
        <v>4518</v>
      </c>
      <c r="D93" s="4">
        <f t="shared" si="7"/>
        <v>861</v>
      </c>
      <c r="E93" s="4">
        <f t="shared" si="8"/>
        <v>4875.2679405937506</v>
      </c>
      <c r="F93" s="4">
        <f t="shared" si="9"/>
        <v>7265.9985634687519</v>
      </c>
      <c r="G93" s="4">
        <f t="shared" si="10"/>
        <v>22026460.555602565</v>
      </c>
      <c r="H93" s="4">
        <f t="shared" si="13"/>
        <v>6256024.7631465951</v>
      </c>
      <c r="I93" s="4">
        <f t="shared" si="11"/>
        <v>28282485.31874916</v>
      </c>
      <c r="J93" s="7">
        <v>0</v>
      </c>
      <c r="K93" s="4">
        <v>0</v>
      </c>
      <c r="L93" s="8">
        <f t="shared" si="12"/>
        <v>28282485.31874916</v>
      </c>
      <c r="M93" s="4">
        <v>256034004</v>
      </c>
    </row>
    <row r="94" spans="1:13" ht="15" x14ac:dyDescent="0.25">
      <c r="A94" s="4">
        <v>74</v>
      </c>
      <c r="B94" s="4">
        <v>134</v>
      </c>
      <c r="C94" s="4">
        <f t="shared" si="6"/>
        <v>4779</v>
      </c>
      <c r="D94" s="4">
        <f t="shared" si="7"/>
        <v>861</v>
      </c>
      <c r="E94" s="4">
        <f t="shared" si="8"/>
        <v>4875.2679405937506</v>
      </c>
      <c r="F94" s="4">
        <f t="shared" si="9"/>
        <v>7265.9985634687519</v>
      </c>
      <c r="G94" s="4">
        <f t="shared" si="10"/>
        <v>23298905.488097534</v>
      </c>
      <c r="H94" s="4">
        <f t="shared" si="13"/>
        <v>6256024.7631465951</v>
      </c>
      <c r="I94" s="4">
        <f t="shared" si="11"/>
        <v>29554930.251244128</v>
      </c>
      <c r="J94" s="7">
        <v>0</v>
      </c>
      <c r="K94" s="4">
        <v>0</v>
      </c>
      <c r="L94" s="8">
        <f t="shared" si="12"/>
        <v>29554930.251244128</v>
      </c>
      <c r="M94" s="4">
        <v>291629783</v>
      </c>
    </row>
    <row r="95" spans="1:13" ht="15" x14ac:dyDescent="0.25">
      <c r="A95" s="4">
        <v>75</v>
      </c>
      <c r="B95" s="4">
        <v>148</v>
      </c>
      <c r="C95" s="4">
        <f t="shared" si="6"/>
        <v>5391</v>
      </c>
      <c r="D95" s="4">
        <f t="shared" si="7"/>
        <v>861</v>
      </c>
      <c r="E95" s="4">
        <f t="shared" si="8"/>
        <v>4875.2679405937506</v>
      </c>
      <c r="F95" s="4">
        <f t="shared" si="9"/>
        <v>7265.9985634687519</v>
      </c>
      <c r="G95" s="4">
        <f t="shared" si="10"/>
        <v>26282569.467740908</v>
      </c>
      <c r="H95" s="4">
        <f t="shared" si="13"/>
        <v>6256024.7631465951</v>
      </c>
      <c r="I95" s="4">
        <f t="shared" si="11"/>
        <v>32538594.230887502</v>
      </c>
      <c r="J95" s="7">
        <v>0</v>
      </c>
      <c r="K95" s="4">
        <v>0</v>
      </c>
      <c r="L95" s="8">
        <f t="shared" si="12"/>
        <v>32538594.230887502</v>
      </c>
      <c r="M95" s="4">
        <v>330984958</v>
      </c>
    </row>
    <row r="96" spans="1:13" ht="15" x14ac:dyDescent="0.25">
      <c r="A96" s="4">
        <v>76</v>
      </c>
      <c r="B96" s="4">
        <v>132</v>
      </c>
      <c r="C96" s="4">
        <f t="shared" si="6"/>
        <v>4692</v>
      </c>
      <c r="D96" s="4">
        <f t="shared" si="7"/>
        <v>861</v>
      </c>
      <c r="E96" s="4">
        <f t="shared" si="8"/>
        <v>4875.2679405937506</v>
      </c>
      <c r="F96" s="4">
        <f t="shared" si="9"/>
        <v>7265.9985634687519</v>
      </c>
      <c r="G96" s="4">
        <f t="shared" si="10"/>
        <v>22874757.177265879</v>
      </c>
      <c r="H96" s="4">
        <f t="shared" si="13"/>
        <v>6256024.7631465951</v>
      </c>
      <c r="I96" s="4">
        <f t="shared" si="11"/>
        <v>29130781.940412473</v>
      </c>
      <c r="J96" s="7">
        <v>0</v>
      </c>
      <c r="K96" s="4">
        <v>0</v>
      </c>
      <c r="L96" s="8">
        <f t="shared" si="12"/>
        <v>29130781.940412473</v>
      </c>
      <c r="M96" s="4">
        <v>366049253</v>
      </c>
    </row>
    <row r="97" spans="1:13" ht="15" x14ac:dyDescent="0.25">
      <c r="A97" s="4">
        <v>77</v>
      </c>
      <c r="B97" s="4">
        <v>118</v>
      </c>
      <c r="C97" s="4">
        <f t="shared" si="6"/>
        <v>4081</v>
      </c>
      <c r="D97" s="4">
        <f t="shared" si="7"/>
        <v>861</v>
      </c>
      <c r="E97" s="4">
        <f t="shared" si="8"/>
        <v>4875.2679405937506</v>
      </c>
      <c r="F97" s="4">
        <f t="shared" si="9"/>
        <v>7265.9985634687519</v>
      </c>
      <c r="G97" s="4">
        <f t="shared" si="10"/>
        <v>19895968.465563096</v>
      </c>
      <c r="H97" s="4">
        <f t="shared" si="13"/>
        <v>6256024.7631465951</v>
      </c>
      <c r="I97" s="4">
        <f t="shared" si="11"/>
        <v>26151993.22870969</v>
      </c>
      <c r="J97" s="7">
        <v>0</v>
      </c>
      <c r="K97" s="4">
        <v>0</v>
      </c>
      <c r="L97" s="8">
        <f t="shared" si="12"/>
        <v>26151993.22870969</v>
      </c>
      <c r="M97" s="4">
        <v>397359028</v>
      </c>
    </row>
    <row r="98" spans="1:13" ht="15" x14ac:dyDescent="0.25">
      <c r="A98" s="4">
        <v>78</v>
      </c>
      <c r="B98" s="4">
        <v>107</v>
      </c>
      <c r="C98" s="4">
        <f t="shared" ref="C98:C116" si="14">ROUND(C86*0.95,0)</f>
        <v>3601</v>
      </c>
      <c r="D98" s="4">
        <f t="shared" ref="D98:D116" si="15">ROUND(D86*90%,0)</f>
        <v>861</v>
      </c>
      <c r="E98" s="4">
        <f t="shared" ref="E98:E116" si="16">E86*1.05</f>
        <v>4875.2679405937506</v>
      </c>
      <c r="F98" s="4">
        <f t="shared" ref="F98:F116" si="17">F86*1.05</f>
        <v>7265.9985634687519</v>
      </c>
      <c r="G98" s="4">
        <f t="shared" si="10"/>
        <v>17555839.854078095</v>
      </c>
      <c r="H98" s="4">
        <f t="shared" si="13"/>
        <v>6256024.7631465951</v>
      </c>
      <c r="I98" s="4">
        <f t="shared" si="11"/>
        <v>23811864.61722469</v>
      </c>
      <c r="J98" s="7">
        <v>0</v>
      </c>
      <c r="K98" s="4">
        <v>0</v>
      </c>
      <c r="L98" s="8">
        <f t="shared" si="12"/>
        <v>23811864.61722469</v>
      </c>
      <c r="M98" s="4">
        <v>425718823</v>
      </c>
    </row>
    <row r="99" spans="1:13" ht="15" x14ac:dyDescent="0.25">
      <c r="A99" s="4">
        <v>79</v>
      </c>
      <c r="B99" s="4">
        <v>107</v>
      </c>
      <c r="C99" s="4">
        <f t="shared" si="14"/>
        <v>3601</v>
      </c>
      <c r="D99" s="4">
        <f t="shared" si="15"/>
        <v>861</v>
      </c>
      <c r="E99" s="4">
        <f t="shared" si="16"/>
        <v>4875.2679405937506</v>
      </c>
      <c r="F99" s="4">
        <f t="shared" si="17"/>
        <v>7265.9985634687519</v>
      </c>
      <c r="G99" s="4">
        <f t="shared" si="10"/>
        <v>17555839.854078095</v>
      </c>
      <c r="H99" s="4">
        <f t="shared" si="13"/>
        <v>6256024.7631465951</v>
      </c>
      <c r="I99" s="4">
        <f t="shared" si="11"/>
        <v>23811864.61722469</v>
      </c>
      <c r="J99" s="7">
        <v>0</v>
      </c>
      <c r="K99" s="4">
        <v>0</v>
      </c>
      <c r="L99" s="8">
        <f t="shared" si="12"/>
        <v>23811864.61722469</v>
      </c>
      <c r="M99" s="4">
        <v>454078618</v>
      </c>
    </row>
    <row r="100" spans="1:13" ht="15" x14ac:dyDescent="0.25">
      <c r="A100" s="4">
        <v>80</v>
      </c>
      <c r="B100" s="4">
        <v>114</v>
      </c>
      <c r="C100" s="4">
        <f t="shared" si="14"/>
        <v>3906</v>
      </c>
      <c r="D100" s="4">
        <f t="shared" si="15"/>
        <v>861</v>
      </c>
      <c r="E100" s="4">
        <f t="shared" si="16"/>
        <v>4875.2679405937506</v>
      </c>
      <c r="F100" s="4">
        <f t="shared" si="17"/>
        <v>7265.9985634687519</v>
      </c>
      <c r="G100" s="4">
        <f t="shared" si="10"/>
        <v>19042796.575959191</v>
      </c>
      <c r="H100" s="4">
        <f t="shared" si="13"/>
        <v>6256024.7631465951</v>
      </c>
      <c r="I100" s="4">
        <f t="shared" si="11"/>
        <v>25298821.339105785</v>
      </c>
      <c r="J100" s="7">
        <v>0</v>
      </c>
      <c r="K100" s="4">
        <v>0</v>
      </c>
      <c r="L100" s="8">
        <f t="shared" si="12"/>
        <v>25298821.339105785</v>
      </c>
      <c r="M100" s="4">
        <v>484310797</v>
      </c>
    </row>
    <row r="101" spans="1:13" ht="15" x14ac:dyDescent="0.25">
      <c r="A101" s="4">
        <v>81</v>
      </c>
      <c r="B101" s="4">
        <v>105</v>
      </c>
      <c r="C101" s="4">
        <f t="shared" si="14"/>
        <v>3512</v>
      </c>
      <c r="D101" s="4">
        <f t="shared" si="15"/>
        <v>861</v>
      </c>
      <c r="E101" s="4">
        <f t="shared" si="16"/>
        <v>4875.2679405937506</v>
      </c>
      <c r="F101" s="4">
        <f t="shared" si="17"/>
        <v>7265.9985634687519</v>
      </c>
      <c r="G101" s="4">
        <f t="shared" si="10"/>
        <v>17121941.007365253</v>
      </c>
      <c r="H101" s="4">
        <f t="shared" si="13"/>
        <v>6256024.7631465951</v>
      </c>
      <c r="I101" s="4">
        <f t="shared" si="11"/>
        <v>23377965.770511847</v>
      </c>
      <c r="J101" s="7">
        <v>0</v>
      </c>
      <c r="K101" s="4">
        <v>0</v>
      </c>
      <c r="L101" s="8">
        <f t="shared" si="12"/>
        <v>23377965.770511847</v>
      </c>
      <c r="M101" s="4">
        <v>512134232</v>
      </c>
    </row>
    <row r="102" spans="1:13" ht="15" x14ac:dyDescent="0.25">
      <c r="A102" s="4">
        <v>82</v>
      </c>
      <c r="B102" s="4">
        <v>115</v>
      </c>
      <c r="C102" s="4">
        <f t="shared" si="14"/>
        <v>3950</v>
      </c>
      <c r="D102" s="4">
        <f t="shared" si="15"/>
        <v>861</v>
      </c>
      <c r="E102" s="4">
        <f t="shared" si="16"/>
        <v>4875.2679405937506</v>
      </c>
      <c r="F102" s="4">
        <f t="shared" si="17"/>
        <v>7265.9985634687519</v>
      </c>
      <c r="G102" s="4">
        <f t="shared" si="10"/>
        <v>19257308.365345314</v>
      </c>
      <c r="H102" s="4">
        <f t="shared" si="13"/>
        <v>6256024.7631465951</v>
      </c>
      <c r="I102" s="4">
        <f t="shared" si="11"/>
        <v>25513333.128491908</v>
      </c>
      <c r="J102" s="7">
        <v>0</v>
      </c>
      <c r="K102" s="4">
        <v>0</v>
      </c>
      <c r="L102" s="8">
        <f t="shared" si="12"/>
        <v>25513333.128491908</v>
      </c>
      <c r="M102" s="4">
        <v>542634591</v>
      </c>
    </row>
    <row r="103" spans="1:13" ht="15" x14ac:dyDescent="0.25">
      <c r="A103" s="4">
        <v>83</v>
      </c>
      <c r="B103" s="4">
        <v>118</v>
      </c>
      <c r="C103" s="4">
        <f t="shared" si="14"/>
        <v>4081</v>
      </c>
      <c r="D103" s="4">
        <f t="shared" si="15"/>
        <v>861</v>
      </c>
      <c r="E103" s="4">
        <f t="shared" si="16"/>
        <v>4875.2679405937506</v>
      </c>
      <c r="F103" s="4">
        <f t="shared" si="17"/>
        <v>7265.9985634687519</v>
      </c>
      <c r="G103" s="4">
        <f t="shared" si="10"/>
        <v>19895968.465563096</v>
      </c>
      <c r="H103" s="4">
        <f t="shared" si="13"/>
        <v>6256024.7631465951</v>
      </c>
      <c r="I103" s="4">
        <f t="shared" si="11"/>
        <v>26151993.22870969</v>
      </c>
      <c r="J103" s="7">
        <v>0</v>
      </c>
      <c r="K103" s="4">
        <v>0</v>
      </c>
      <c r="L103" s="8">
        <f t="shared" si="12"/>
        <v>26151993.22870969</v>
      </c>
      <c r="M103" s="4">
        <v>573944366</v>
      </c>
    </row>
    <row r="104" spans="1:13" ht="15" x14ac:dyDescent="0.25">
      <c r="A104" s="4">
        <v>84</v>
      </c>
      <c r="B104" s="4">
        <v>120</v>
      </c>
      <c r="C104" s="4">
        <f t="shared" si="14"/>
        <v>4169</v>
      </c>
      <c r="D104" s="4">
        <f t="shared" si="15"/>
        <v>861</v>
      </c>
      <c r="E104" s="4">
        <f t="shared" si="16"/>
        <v>4875.2679405937506</v>
      </c>
      <c r="F104" s="4">
        <f t="shared" si="17"/>
        <v>7265.9985634687519</v>
      </c>
      <c r="G104" s="4">
        <f t="shared" si="10"/>
        <v>20324992.044335347</v>
      </c>
      <c r="H104" s="4">
        <f t="shared" si="13"/>
        <v>6256024.7631465951</v>
      </c>
      <c r="I104" s="4">
        <f t="shared" si="11"/>
        <v>26581016.807481941</v>
      </c>
      <c r="J104" s="7">
        <v>0</v>
      </c>
      <c r="K104" s="4">
        <v>0</v>
      </c>
      <c r="L104" s="8">
        <f t="shared" si="12"/>
        <v>26581016.807481941</v>
      </c>
      <c r="M104" s="4">
        <v>605795377</v>
      </c>
    </row>
    <row r="105" spans="1:13" ht="15" x14ac:dyDescent="0.25">
      <c r="A105" s="4">
        <v>85</v>
      </c>
      <c r="B105" s="4">
        <v>128</v>
      </c>
      <c r="C105" s="4">
        <f t="shared" si="14"/>
        <v>4292</v>
      </c>
      <c r="D105" s="4">
        <f t="shared" si="15"/>
        <v>775</v>
      </c>
      <c r="E105" s="4">
        <f t="shared" si="16"/>
        <v>5119.031337623438</v>
      </c>
      <c r="F105" s="4">
        <f t="shared" si="17"/>
        <v>7629.2984916421901</v>
      </c>
      <c r="G105" s="4">
        <f t="shared" si="10"/>
        <v>21970882.501079798</v>
      </c>
      <c r="H105" s="4">
        <f t="shared" si="13"/>
        <v>5912706.3310226975</v>
      </c>
      <c r="I105" s="4">
        <f t="shared" si="11"/>
        <v>27883588.832102496</v>
      </c>
      <c r="J105" s="7">
        <v>0</v>
      </c>
      <c r="K105" s="4">
        <v>0</v>
      </c>
      <c r="L105" s="8">
        <f t="shared" si="12"/>
        <v>27883588.832102496</v>
      </c>
      <c r="M105" s="4">
        <v>641291987</v>
      </c>
    </row>
    <row r="106" spans="1:13" ht="15" x14ac:dyDescent="0.25">
      <c r="A106" s="4">
        <v>86</v>
      </c>
      <c r="B106" s="4">
        <v>134</v>
      </c>
      <c r="C106" s="4">
        <f t="shared" si="14"/>
        <v>4540</v>
      </c>
      <c r="D106" s="4">
        <f t="shared" si="15"/>
        <v>775</v>
      </c>
      <c r="E106" s="4">
        <f t="shared" si="16"/>
        <v>5119.031337623438</v>
      </c>
      <c r="F106" s="4">
        <f t="shared" si="17"/>
        <v>7629.2984916421901</v>
      </c>
      <c r="G106" s="4">
        <f t="shared" si="10"/>
        <v>23240402.272810407</v>
      </c>
      <c r="H106" s="4">
        <f t="shared" si="13"/>
        <v>5912706.3310226975</v>
      </c>
      <c r="I106" s="4">
        <f t="shared" si="11"/>
        <v>29153108.603833105</v>
      </c>
      <c r="J106" s="7">
        <v>0</v>
      </c>
      <c r="K106" s="4">
        <v>0</v>
      </c>
      <c r="L106" s="8">
        <f t="shared" si="12"/>
        <v>29153108.603833105</v>
      </c>
      <c r="M106" s="4">
        <v>677085557</v>
      </c>
    </row>
    <row r="107" spans="1:13" ht="15" x14ac:dyDescent="0.25">
      <c r="A107" s="4">
        <v>87</v>
      </c>
      <c r="B107" s="4">
        <v>148</v>
      </c>
      <c r="C107" s="4">
        <f t="shared" si="14"/>
        <v>5121</v>
      </c>
      <c r="D107" s="4">
        <f t="shared" si="15"/>
        <v>775</v>
      </c>
      <c r="E107" s="4">
        <f t="shared" si="16"/>
        <v>5119.031337623438</v>
      </c>
      <c r="F107" s="4">
        <f t="shared" si="17"/>
        <v>7629.2984916421901</v>
      </c>
      <c r="G107" s="4">
        <f t="shared" si="10"/>
        <v>26214559.479969624</v>
      </c>
      <c r="H107" s="4">
        <f t="shared" si="13"/>
        <v>5912706.3310226975</v>
      </c>
      <c r="I107" s="4">
        <f t="shared" si="11"/>
        <v>32127265.810992323</v>
      </c>
      <c r="J107" s="7">
        <v>0</v>
      </c>
      <c r="K107" s="4">
        <v>0</v>
      </c>
      <c r="L107" s="8">
        <f t="shared" si="12"/>
        <v>32127265.810992323</v>
      </c>
      <c r="M107" s="4">
        <v>716708887</v>
      </c>
    </row>
    <row r="108" spans="1:13" ht="15" x14ac:dyDescent="0.25">
      <c r="A108" s="4">
        <v>88</v>
      </c>
      <c r="B108" s="4">
        <v>132</v>
      </c>
      <c r="C108" s="4">
        <f t="shared" si="14"/>
        <v>4457</v>
      </c>
      <c r="D108" s="4">
        <f t="shared" si="15"/>
        <v>775</v>
      </c>
      <c r="E108" s="4">
        <f t="shared" si="16"/>
        <v>5119.031337623438</v>
      </c>
      <c r="F108" s="4">
        <f t="shared" si="17"/>
        <v>7629.2984916421901</v>
      </c>
      <c r="G108" s="4">
        <f t="shared" si="10"/>
        <v>22815522.671787664</v>
      </c>
      <c r="H108" s="4">
        <f t="shared" si="13"/>
        <v>5912706.3310226975</v>
      </c>
      <c r="I108" s="4">
        <f t="shared" si="11"/>
        <v>28728229.002810363</v>
      </c>
      <c r="J108" s="7">
        <v>0</v>
      </c>
      <c r="K108" s="4">
        <v>0</v>
      </c>
      <c r="L108" s="8">
        <f t="shared" si="12"/>
        <v>28728229.002810363</v>
      </c>
      <c r="M108" s="4">
        <v>751964857</v>
      </c>
    </row>
    <row r="109" spans="1:13" ht="15" x14ac:dyDescent="0.25">
      <c r="A109" s="4">
        <v>89</v>
      </c>
      <c r="B109" s="4">
        <v>118</v>
      </c>
      <c r="C109" s="4">
        <f t="shared" si="14"/>
        <v>3877</v>
      </c>
      <c r="D109" s="4">
        <f t="shared" si="15"/>
        <v>775</v>
      </c>
      <c r="E109" s="4">
        <f t="shared" si="16"/>
        <v>5119.031337623438</v>
      </c>
      <c r="F109" s="4">
        <f t="shared" si="17"/>
        <v>7629.2984916421901</v>
      </c>
      <c r="G109" s="4">
        <f t="shared" si="10"/>
        <v>19846484.495966069</v>
      </c>
      <c r="H109" s="4">
        <f t="shared" si="13"/>
        <v>5912706.3310226975</v>
      </c>
      <c r="I109" s="4">
        <f t="shared" si="11"/>
        <v>25759190.826988768</v>
      </c>
      <c r="J109" s="7">
        <v>0</v>
      </c>
      <c r="K109" s="4">
        <v>0</v>
      </c>
      <c r="L109" s="8">
        <f t="shared" si="12"/>
        <v>25759190.826988768</v>
      </c>
      <c r="M109" s="4">
        <v>783396187</v>
      </c>
    </row>
    <row r="110" spans="1:13" ht="15" x14ac:dyDescent="0.25">
      <c r="A110" s="4">
        <v>90</v>
      </c>
      <c r="B110" s="4">
        <v>107</v>
      </c>
      <c r="C110" s="4">
        <f t="shared" si="14"/>
        <v>3421</v>
      </c>
      <c r="D110" s="4">
        <f t="shared" si="15"/>
        <v>775</v>
      </c>
      <c r="E110" s="4">
        <f>E98*1.05</f>
        <v>5119.031337623438</v>
      </c>
      <c r="F110" s="4">
        <f t="shared" si="17"/>
        <v>7629.2984916421901</v>
      </c>
      <c r="G110" s="4">
        <f t="shared" si="10"/>
        <v>17512206.206009783</v>
      </c>
      <c r="H110" s="4">
        <f t="shared" si="13"/>
        <v>5912706.3310226975</v>
      </c>
      <c r="I110" s="4">
        <f t="shared" si="11"/>
        <v>23424912.537032481</v>
      </c>
      <c r="J110" s="7">
        <v>0</v>
      </c>
      <c r="K110" s="4">
        <v>0</v>
      </c>
      <c r="L110" s="8">
        <f t="shared" si="12"/>
        <v>23424912.537032481</v>
      </c>
      <c r="M110" s="4">
        <v>811822077</v>
      </c>
    </row>
    <row r="111" spans="1:13" ht="15" x14ac:dyDescent="0.25">
      <c r="A111" s="4">
        <v>91</v>
      </c>
      <c r="B111" s="4">
        <v>107</v>
      </c>
      <c r="C111" s="4">
        <f t="shared" si="14"/>
        <v>3421</v>
      </c>
      <c r="D111" s="4">
        <f t="shared" si="15"/>
        <v>775</v>
      </c>
      <c r="E111" s="4">
        <f t="shared" si="16"/>
        <v>5119.031337623438</v>
      </c>
      <c r="F111" s="4">
        <f t="shared" si="17"/>
        <v>7629.2984916421901</v>
      </c>
      <c r="G111" s="4">
        <f t="shared" si="10"/>
        <v>17512206.206009783</v>
      </c>
      <c r="H111" s="4">
        <f t="shared" si="13"/>
        <v>5912706.3310226975</v>
      </c>
      <c r="I111" s="4">
        <f t="shared" si="11"/>
        <v>23424912.537032481</v>
      </c>
      <c r="J111" s="7">
        <v>0</v>
      </c>
      <c r="K111" s="4">
        <v>0</v>
      </c>
      <c r="L111" s="8">
        <f t="shared" si="12"/>
        <v>23424912.537032481</v>
      </c>
      <c r="M111" s="4">
        <v>840247967</v>
      </c>
    </row>
    <row r="112" spans="1:13" ht="15" x14ac:dyDescent="0.25">
      <c r="A112" s="4">
        <v>92</v>
      </c>
      <c r="B112" s="4">
        <v>114</v>
      </c>
      <c r="C112" s="4">
        <f t="shared" si="14"/>
        <v>3711</v>
      </c>
      <c r="D112" s="4">
        <f t="shared" si="15"/>
        <v>775</v>
      </c>
      <c r="E112" s="4">
        <f t="shared" si="16"/>
        <v>5119.031337623438</v>
      </c>
      <c r="F112" s="4">
        <f t="shared" si="17"/>
        <v>7629.2984916421901</v>
      </c>
      <c r="G112" s="4">
        <f t="shared" si="10"/>
        <v>18996725.29392058</v>
      </c>
      <c r="H112" s="4">
        <f t="shared" si="13"/>
        <v>5912706.3310226975</v>
      </c>
      <c r="I112" s="4">
        <f t="shared" si="11"/>
        <v>24909431.624943279</v>
      </c>
      <c r="J112" s="7">
        <v>0</v>
      </c>
      <c r="K112" s="4">
        <v>0</v>
      </c>
      <c r="L112" s="8">
        <f t="shared" si="12"/>
        <v>24909431.624943279</v>
      </c>
      <c r="M112" s="4">
        <v>870578497</v>
      </c>
    </row>
    <row r="113" spans="1:13" ht="15" x14ac:dyDescent="0.25">
      <c r="A113" s="4">
        <v>93</v>
      </c>
      <c r="B113" s="4">
        <v>105</v>
      </c>
      <c r="C113" s="4">
        <f t="shared" si="14"/>
        <v>3336</v>
      </c>
      <c r="D113" s="4">
        <f t="shared" si="15"/>
        <v>775</v>
      </c>
      <c r="E113" s="4">
        <f t="shared" si="16"/>
        <v>5119.031337623438</v>
      </c>
      <c r="F113" s="4">
        <f t="shared" si="17"/>
        <v>7629.2984916421901</v>
      </c>
      <c r="G113" s="4">
        <f t="shared" si="10"/>
        <v>17077088.542311788</v>
      </c>
      <c r="H113" s="4">
        <f t="shared" si="13"/>
        <v>5912706.3310226975</v>
      </c>
      <c r="I113" s="4">
        <f t="shared" si="11"/>
        <v>22989794.873334486</v>
      </c>
      <c r="J113" s="7">
        <v>0</v>
      </c>
      <c r="K113" s="4">
        <v>0</v>
      </c>
      <c r="L113" s="8">
        <f t="shared" si="12"/>
        <v>22989794.873334486</v>
      </c>
      <c r="M113" s="4">
        <v>898456547</v>
      </c>
    </row>
    <row r="114" spans="1:13" ht="15" x14ac:dyDescent="0.25">
      <c r="A114" s="4">
        <v>94</v>
      </c>
      <c r="B114" s="4">
        <v>115</v>
      </c>
      <c r="C114" s="4">
        <f t="shared" si="14"/>
        <v>3753</v>
      </c>
      <c r="D114" s="4">
        <f t="shared" si="15"/>
        <v>775</v>
      </c>
      <c r="E114" s="4">
        <f t="shared" si="16"/>
        <v>5119.031337623438</v>
      </c>
      <c r="F114" s="4">
        <f t="shared" si="17"/>
        <v>7629.2984916421901</v>
      </c>
      <c r="G114" s="4">
        <f t="shared" si="10"/>
        <v>19211724.610100765</v>
      </c>
      <c r="H114" s="4">
        <f t="shared" si="13"/>
        <v>5912706.3310226975</v>
      </c>
      <c r="I114" s="4">
        <f t="shared" si="11"/>
        <v>25124430.941123463</v>
      </c>
      <c r="J114" s="7">
        <v>0</v>
      </c>
      <c r="K114" s="4">
        <v>0</v>
      </c>
      <c r="L114" s="8">
        <f t="shared" si="12"/>
        <v>25124430.941123463</v>
      </c>
      <c r="M114" s="4">
        <v>929063557</v>
      </c>
    </row>
    <row r="115" spans="1:13" ht="15" x14ac:dyDescent="0.25">
      <c r="A115" s="4">
        <v>95</v>
      </c>
      <c r="B115" s="4">
        <v>118</v>
      </c>
      <c r="C115" s="4">
        <f t="shared" si="14"/>
        <v>3877</v>
      </c>
      <c r="D115" s="4">
        <f t="shared" si="15"/>
        <v>775</v>
      </c>
      <c r="E115" s="4">
        <f t="shared" si="16"/>
        <v>5119.031337623438</v>
      </c>
      <c r="F115" s="4">
        <f t="shared" si="17"/>
        <v>7629.2984916421901</v>
      </c>
      <c r="G115" s="4">
        <f t="shared" si="10"/>
        <v>19846484.495966069</v>
      </c>
      <c r="H115" s="4">
        <f t="shared" si="13"/>
        <v>5912706.3310226975</v>
      </c>
      <c r="I115" s="4">
        <f t="shared" si="11"/>
        <v>25759190.826988768</v>
      </c>
      <c r="J115" s="7">
        <v>0</v>
      </c>
      <c r="K115" s="4">
        <v>0</v>
      </c>
      <c r="L115" s="8">
        <f t="shared" si="12"/>
        <v>25759190.826988768</v>
      </c>
      <c r="M115" s="4">
        <v>960494887</v>
      </c>
    </row>
    <row r="116" spans="1:13" ht="15" x14ac:dyDescent="0.25">
      <c r="A116" s="4">
        <v>96</v>
      </c>
      <c r="B116" s="4">
        <v>120</v>
      </c>
      <c r="C116" s="4">
        <f t="shared" si="14"/>
        <v>3961</v>
      </c>
      <c r="D116" s="4">
        <f t="shared" si="15"/>
        <v>775</v>
      </c>
      <c r="E116" s="4">
        <f t="shared" si="16"/>
        <v>5119.031337623438</v>
      </c>
      <c r="F116" s="4">
        <f t="shared" si="17"/>
        <v>7629.2984916421901</v>
      </c>
      <c r="G116" s="4">
        <f t="shared" si="10"/>
        <v>20276483.128326438</v>
      </c>
      <c r="H116" s="4">
        <f t="shared" si="13"/>
        <v>5912706.3310226975</v>
      </c>
      <c r="I116" s="4">
        <f t="shared" si="11"/>
        <v>26189189.459349137</v>
      </c>
      <c r="J116" s="7">
        <v>0</v>
      </c>
      <c r="K116" s="4">
        <v>0</v>
      </c>
      <c r="L116" s="8">
        <f t="shared" si="12"/>
        <v>26189189.459349137</v>
      </c>
      <c r="M116" s="4">
        <v>992479177</v>
      </c>
    </row>
  </sheetData>
  <mergeCells count="47">
    <mergeCell ref="A17:M17"/>
    <mergeCell ref="A18:M18"/>
    <mergeCell ref="A19:A20"/>
    <mergeCell ref="B19:B20"/>
    <mergeCell ref="A15:C15"/>
    <mergeCell ref="D15:G15"/>
    <mergeCell ref="H15:J15"/>
    <mergeCell ref="K15:M15"/>
    <mergeCell ref="A16:C16"/>
    <mergeCell ref="D16:G16"/>
    <mergeCell ref="H16:J16"/>
    <mergeCell ref="K16:M16"/>
    <mergeCell ref="A14:M14"/>
    <mergeCell ref="A10:C10"/>
    <mergeCell ref="D10:G10"/>
    <mergeCell ref="H10:J10"/>
    <mergeCell ref="K10:M10"/>
    <mergeCell ref="A11:C11"/>
    <mergeCell ref="D11:G11"/>
    <mergeCell ref="H11:J11"/>
    <mergeCell ref="K11:M11"/>
    <mergeCell ref="A12:C12"/>
    <mergeCell ref="D12:G12"/>
    <mergeCell ref="H12:J12"/>
    <mergeCell ref="K12:M12"/>
    <mergeCell ref="A13:M13"/>
    <mergeCell ref="A8:C8"/>
    <mergeCell ref="D8:G8"/>
    <mergeCell ref="H8:J8"/>
    <mergeCell ref="K8:M8"/>
    <mergeCell ref="A9:C9"/>
    <mergeCell ref="D9:G9"/>
    <mergeCell ref="H9:J9"/>
    <mergeCell ref="K9:M9"/>
    <mergeCell ref="A7:M7"/>
    <mergeCell ref="A1:M1"/>
    <mergeCell ref="A2:M2"/>
    <mergeCell ref="A3:M3"/>
    <mergeCell ref="A4:C4"/>
    <mergeCell ref="D4:G4"/>
    <mergeCell ref="H4:J4"/>
    <mergeCell ref="K4:M4"/>
    <mergeCell ref="A5:C5"/>
    <mergeCell ref="D5:G5"/>
    <mergeCell ref="H5:J5"/>
    <mergeCell ref="K5:M5"/>
    <mergeCell ref="A6:M6"/>
  </mergeCells>
  <conditionalFormatting sqref="L21:L116">
    <cfRule type="cellIs" dxfId="1" priority="1" operator="lessThan">
      <formula>0</formula>
    </cfRule>
    <cfRule type="cellIs" dxfId="0" priority="2" operator="greaterThan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Hiệu quả kinh tế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Quốc Hồ</dc:creator>
  <cp:lastModifiedBy>Quốc Hồ</cp:lastModifiedBy>
  <dcterms:created xsi:type="dcterms:W3CDTF">2026-03-10T08:10:11Z</dcterms:created>
  <dcterms:modified xsi:type="dcterms:W3CDTF">2026-03-10T08:32:12Z</dcterms:modified>
</cp:coreProperties>
</file>